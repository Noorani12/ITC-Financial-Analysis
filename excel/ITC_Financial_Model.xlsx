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ham\Desktop\Mohammed Noor\Finance Project\excel\"/>
    </mc:Choice>
  </mc:AlternateContent>
  <xr:revisionPtr revIDLastSave="0" documentId="13_ncr:1_{9AECC45F-4C26-42DC-9501-CFB3881748DB}" xr6:coauthVersionLast="47" xr6:coauthVersionMax="47" xr10:uidLastSave="{00000000-0000-0000-0000-000000000000}"/>
  <bookViews>
    <workbookView xWindow="-108" yWindow="-108" windowWidth="23256" windowHeight="12456" tabRatio="500" firstSheet="3" activeTab="7" xr2:uid="{00000000-000D-0000-FFFF-FFFF00000000}"/>
  </bookViews>
  <sheets>
    <sheet name="Cover Sheet" sheetId="1" r:id="rId1"/>
    <sheet name="Assumptions" sheetId="2" r:id="rId2"/>
    <sheet name="Income Statement" sheetId="3" r:id="rId3"/>
    <sheet name="Balance Sheet" sheetId="4" r:id="rId4"/>
    <sheet name="Cash Flow" sheetId="5" r:id="rId5"/>
    <sheet name="Ratio Analysis" sheetId="6" r:id="rId6"/>
    <sheet name="DCF Valuation" sheetId="7" r:id="rId7"/>
    <sheet name="Peer Comparison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9" i="7" l="1"/>
  <c r="B37" i="7"/>
  <c r="G21" i="7"/>
  <c r="F21" i="7"/>
  <c r="E21" i="7"/>
  <c r="D21" i="7"/>
  <c r="C21" i="7"/>
  <c r="B20" i="7"/>
  <c r="C20" i="7" s="1"/>
  <c r="D20" i="7" s="1"/>
  <c r="E20" i="7" s="1"/>
  <c r="F20" i="7" s="1"/>
  <c r="G20" i="7" s="1"/>
  <c r="B19" i="7"/>
  <c r="C19" i="7" s="1"/>
  <c r="D19" i="7" s="1"/>
  <c r="E19" i="7" s="1"/>
  <c r="F19" i="7" s="1"/>
  <c r="G19" i="7" s="1"/>
  <c r="B16" i="7"/>
  <c r="B15" i="7"/>
  <c r="C15" i="7" s="1"/>
  <c r="B7" i="7"/>
  <c r="B6" i="7"/>
  <c r="B8" i="7" s="1"/>
  <c r="B5" i="7"/>
  <c r="B4" i="7"/>
  <c r="G18" i="6"/>
  <c r="G17" i="6"/>
  <c r="G14" i="6"/>
  <c r="F14" i="6"/>
  <c r="E14" i="6"/>
  <c r="D14" i="6"/>
  <c r="C14" i="6"/>
  <c r="B14" i="6"/>
  <c r="G13" i="6"/>
  <c r="F13" i="6"/>
  <c r="E13" i="6"/>
  <c r="D13" i="6"/>
  <c r="C13" i="6"/>
  <c r="B13" i="6"/>
  <c r="E12" i="6"/>
  <c r="D12" i="6"/>
  <c r="C12" i="6"/>
  <c r="B12" i="6"/>
  <c r="G9" i="6"/>
  <c r="F9" i="6"/>
  <c r="E9" i="6"/>
  <c r="D9" i="6"/>
  <c r="C9" i="6"/>
  <c r="B9" i="6"/>
  <c r="G8" i="6"/>
  <c r="F8" i="6"/>
  <c r="E8" i="6"/>
  <c r="E7" i="6"/>
  <c r="D7" i="6"/>
  <c r="C7" i="6"/>
  <c r="B7" i="6"/>
  <c r="G6" i="6"/>
  <c r="F6" i="6"/>
  <c r="E6" i="6"/>
  <c r="D6" i="6"/>
  <c r="C6" i="6"/>
  <c r="B6" i="6"/>
  <c r="G5" i="6"/>
  <c r="F5" i="6"/>
  <c r="E5" i="6"/>
  <c r="D5" i="6"/>
  <c r="C5" i="6"/>
  <c r="B5" i="6"/>
  <c r="G4" i="5"/>
  <c r="G8" i="5" s="1"/>
  <c r="F4" i="5"/>
  <c r="F8" i="5" s="1"/>
  <c r="E4" i="5"/>
  <c r="E8" i="5" s="1"/>
  <c r="D4" i="5"/>
  <c r="D8" i="5" s="1"/>
  <c r="C4" i="5"/>
  <c r="C8" i="5" s="1"/>
  <c r="B4" i="5"/>
  <c r="B8" i="5" s="1"/>
  <c r="G19" i="4"/>
  <c r="F19" i="4"/>
  <c r="E19" i="4"/>
  <c r="E21" i="4" s="1"/>
  <c r="E22" i="4" s="1"/>
  <c r="D19" i="4"/>
  <c r="D21" i="4" s="1"/>
  <c r="D22" i="4" s="1"/>
  <c r="C19" i="4"/>
  <c r="C21" i="4" s="1"/>
  <c r="C22" i="4" s="1"/>
  <c r="B19" i="4"/>
  <c r="B21" i="4" s="1"/>
  <c r="B22" i="4" s="1"/>
  <c r="G14" i="4"/>
  <c r="F14" i="4"/>
  <c r="E14" i="4"/>
  <c r="D14" i="4"/>
  <c r="C14" i="4"/>
  <c r="B14" i="4"/>
  <c r="G9" i="4"/>
  <c r="F9" i="4"/>
  <c r="E9" i="4"/>
  <c r="D9" i="4"/>
  <c r="C9" i="4"/>
  <c r="B9" i="4"/>
  <c r="B26" i="3"/>
  <c r="B25" i="3"/>
  <c r="G23" i="3"/>
  <c r="F23" i="3"/>
  <c r="E23" i="3"/>
  <c r="D23" i="3"/>
  <c r="C23" i="3"/>
  <c r="B23" i="3"/>
  <c r="G22" i="3"/>
  <c r="F22" i="3"/>
  <c r="E22" i="3"/>
  <c r="D22" i="3"/>
  <c r="C22" i="3"/>
  <c r="G21" i="3"/>
  <c r="F21" i="3"/>
  <c r="E21" i="3"/>
  <c r="D21" i="3"/>
  <c r="C21" i="3"/>
  <c r="G6" i="3"/>
  <c r="F6" i="3"/>
  <c r="E6" i="3"/>
  <c r="D6" i="3"/>
  <c r="C6" i="3"/>
  <c r="B6" i="3"/>
  <c r="B19" i="2"/>
  <c r="B17" i="2"/>
  <c r="B17" i="7" l="1"/>
  <c r="B18" i="7" s="1"/>
  <c r="D15" i="7"/>
  <c r="C16" i="7"/>
  <c r="B35" i="7"/>
  <c r="B9" i="7"/>
  <c r="B10" i="7" s="1"/>
  <c r="C28" i="7"/>
  <c r="D28" i="7"/>
  <c r="E28" i="7"/>
  <c r="G12" i="6"/>
  <c r="G21" i="4"/>
  <c r="G22" i="4" s="1"/>
  <c r="G7" i="6"/>
  <c r="G19" i="6"/>
  <c r="F21" i="4"/>
  <c r="F22" i="4" s="1"/>
  <c r="F7" i="6"/>
  <c r="F12" i="6"/>
  <c r="G11" i="3"/>
  <c r="G12" i="3" s="1"/>
  <c r="G7" i="3"/>
  <c r="F11" i="3"/>
  <c r="F12" i="3" s="1"/>
  <c r="F7" i="3"/>
  <c r="E11" i="3"/>
  <c r="E12" i="3" s="1"/>
  <c r="E7" i="3"/>
  <c r="D8" i="6"/>
  <c r="D11" i="3"/>
  <c r="D12" i="3" s="1"/>
  <c r="D7" i="3"/>
  <c r="C8" i="6"/>
  <c r="C11" i="3"/>
  <c r="C12" i="3" s="1"/>
  <c r="C7" i="3"/>
  <c r="B11" i="3"/>
  <c r="B12" i="3" s="1"/>
  <c r="B7" i="3"/>
  <c r="B8" i="6"/>
  <c r="E15" i="7" l="1"/>
  <c r="D16" i="7"/>
  <c r="C17" i="7"/>
  <c r="C18" i="7"/>
  <c r="C22" i="7" s="1"/>
  <c r="F28" i="7"/>
  <c r="G28" i="7"/>
  <c r="F15" i="7" l="1"/>
  <c r="E16" i="7"/>
  <c r="D17" i="7"/>
  <c r="D18" i="7" s="1"/>
  <c r="D22" i="7" s="1"/>
  <c r="C29" i="7"/>
  <c r="G15" i="7" l="1"/>
  <c r="G16" i="7" s="1"/>
  <c r="F16" i="7"/>
  <c r="E18" i="7"/>
  <c r="E22" i="7" s="1"/>
  <c r="E17" i="7"/>
  <c r="D29" i="7"/>
  <c r="G17" i="7" l="1"/>
  <c r="G18" i="7"/>
  <c r="G22" i="7" s="1"/>
  <c r="F17" i="7"/>
  <c r="F18" i="7" s="1"/>
  <c r="F22" i="7" s="1"/>
  <c r="B45" i="7" s="1"/>
  <c r="E29" i="7"/>
  <c r="B25" i="7" l="1"/>
  <c r="B33" i="7" s="1"/>
  <c r="G29" i="7"/>
  <c r="B43" i="7"/>
  <c r="B44" i="7"/>
  <c r="F29" i="7"/>
  <c r="B32" i="7" s="1"/>
  <c r="B34" i="7" s="1"/>
  <c r="B36" i="7" s="1"/>
  <c r="B38" i="7" s="1"/>
  <c r="B40" i="7" s="1"/>
</calcChain>
</file>

<file path=xl/sharedStrings.xml><?xml version="1.0" encoding="utf-8"?>
<sst xmlns="http://schemas.openxmlformats.org/spreadsheetml/2006/main" count="219" uniqueCount="191">
  <si>
    <t>ITC LIMITED</t>
  </si>
  <si>
    <t>Financial Performance Analysis &amp; Simplified DCF Valuation</t>
  </si>
  <si>
    <t>Prepared by:</t>
  </si>
  <si>
    <t>Institution:</t>
  </si>
  <si>
    <t>ABOUT ITC LIMITED</t>
  </si>
  <si>
    <t>Established in 1910, ITC is a diversified Indian conglomerate and India's largest cigarette manufacturer. It operates across four reporting segments: FMCG-Cigarettes, FMCG-Others (foods, personal care, stationery, etc.), Paperboards, Paper &amp; Packaging, and Agri Business. ITC demerged its Hotels business (ITC Hotels Ltd) as a separately listed company, effective January 2025 - this is an important corporate action that affects year-on-year comparability and is discussed in the Assumptions and Income Statement notes.</t>
  </si>
  <si>
    <t>SHEETS INCLUDED</t>
  </si>
  <si>
    <t>1. Assumptions - forecast drivers and WACC inputs</t>
  </si>
  <si>
    <t>2. Income Statement (FY21-FY26)</t>
  </si>
  <si>
    <t>3. Balance Sheet (FY21-FY26)</t>
  </si>
  <si>
    <t>4. Cash Flow (FY21-FY26, Operating CF derived from Net Profit)</t>
  </si>
  <si>
    <t>5. Ratio Analysis - profitability, leverage, valuation ratios</t>
  </si>
  <si>
    <t>6. DCF Valuation - WACC, 5-yr FCF forecast, terminal value, implied price</t>
  </si>
  <si>
    <t>7. Peer Comparison - ITC vs Godfrey Phillips India vs HUL</t>
  </si>
  <si>
    <t>DATA SOURCES</t>
  </si>
  <si>
    <t>Historical financials: Screener.in (consolidated), accessed 18 Sep 2026</t>
  </si>
  <si>
    <t>Market data (CMP, market cap, beta): Screener.in / TradingView, accessed Sep 2026</t>
  </si>
  <si>
    <t>Risk-free rate: India 10Y G-Sec ~7.1%, TradingEconomics.com, 15 Sep 2026</t>
  </si>
  <si>
    <t>Equity Risk Premium: Damodaran India/mature-market ERP framework, 2026 update (approx.)</t>
  </si>
  <si>
    <t>NOTE</t>
  </si>
  <si>
    <t>ITC - Model Assumptions</t>
  </si>
  <si>
    <t>All blue cells are inputs, sourced and dated. Do not hardcode these numbers anywhere else.</t>
  </si>
  <si>
    <t>FORECAST DRIVERS (FY27-FY31)</t>
  </si>
  <si>
    <t>Revenue Growth %</t>
  </si>
  <si>
    <t>Moderated vs. 9.9% historical 5-yr CAGR (which included a low FY21 COVID base)</t>
  </si>
  <si>
    <t>EBIT Margin % (Operating Margin)</t>
  </si>
  <si>
    <t>In line with FY21-26 average OPM of ~35%, driven by high-margin cigarette segment</t>
  </si>
  <si>
    <t>Tax Rate</t>
  </si>
  <si>
    <t>Normalized effective tax rate (FY25's 16% was a one-off, related to demerger accounting)</t>
  </si>
  <si>
    <t>Depreciation Growth %</t>
  </si>
  <si>
    <t>Capex Growth %</t>
  </si>
  <si>
    <t>Change in Working Capital (Rs Cr)</t>
  </si>
  <si>
    <t>WACC INPUTS</t>
  </si>
  <si>
    <t>Risk-Free Rate (Rf)</t>
  </si>
  <si>
    <t>India 10Y G-Sec, ~7.1%, TradingEconomics, 15 Sep 2026</t>
  </si>
  <si>
    <t>Beta</t>
  </si>
  <si>
    <t>ITC 1-yr beta ~0.34-0.35 (low-beta defensive staple), TradingView, 2026</t>
  </si>
  <si>
    <t>Equity Risk Premium (ERP)</t>
  </si>
  <si>
    <t>Approx. Damodaran India ERP (mature-market ERP ~4.2% + India country risk premium), 2026</t>
  </si>
  <si>
    <t>Cost of Equity (Ke) = Rf + Beta x ERP</t>
  </si>
  <si>
    <t>Cost of Debt (Pre-tax)</t>
  </si>
  <si>
    <t>Approximate, given ITC's negligible borrowings</t>
  </si>
  <si>
    <t>Cost of Debt (Post-tax) = Kd x (1-tax)</t>
  </si>
  <si>
    <t>VALUATION INPUTS</t>
  </si>
  <si>
    <t>Terminal Growth Rate</t>
  </si>
  <si>
    <t>Current Market Price, CMP (Rs)</t>
  </si>
  <si>
    <t>Screener.in close price, 18 Sep 2026</t>
  </si>
  <si>
    <t>Shares Outstanding (Cr)</t>
  </si>
  <si>
    <t>Market Cap Rs 3,28,675 Cr / CMP Rs 262, Screener.in, 18 Sep 2026</t>
  </si>
  <si>
    <t>IMPORTANT NOTE: ITC Hotels Demerger</t>
  </si>
  <si>
    <t>ITC demerged its Hotels business effective Jan 2025. This caused a one-off Rs 17,803 Cr Other Income spike in FY25 (demerger-related gain) and a drop in Fixed Assets from Rs 27,820 Cr (FY24) to Rs 21,955 Cr (FY25) as hotel properties left the balance sheet. FY24 revenue also reflects a restatement for discontinued operations. All figures here are taken directly from Screener.in's published consolidated series on a consistent basis; no numbers have been mixed across standalone/consolidated definitions.</t>
  </si>
  <si>
    <t>ITC Limited - Income Statement (Rs Cr, Consolidated)</t>
  </si>
  <si>
    <t>Particulars</t>
  </si>
  <si>
    <t>FY21</t>
  </si>
  <si>
    <t>FY22</t>
  </si>
  <si>
    <t>FY23</t>
  </si>
  <si>
    <t>FY24</t>
  </si>
  <si>
    <t>FY25</t>
  </si>
  <si>
    <t>FY26</t>
  </si>
  <si>
    <t>Sales</t>
  </si>
  <si>
    <t>Expenses</t>
  </si>
  <si>
    <t>Operating Profit (EBIT)</t>
  </si>
  <si>
    <t>OPM % (EBIT Margin)</t>
  </si>
  <si>
    <t>Other Income</t>
  </si>
  <si>
    <t>Interest</t>
  </si>
  <si>
    <t>Depreciation</t>
  </si>
  <si>
    <t>Profit Before Tax</t>
  </si>
  <si>
    <t>Tax % (derived)</t>
  </si>
  <si>
    <t>Net Profit</t>
  </si>
  <si>
    <t>EPS (Rs)</t>
  </si>
  <si>
    <t>NOTE: FY25 Anomaly</t>
  </si>
  <si>
    <t>FY25's Other Income of Rs 17,803 Cr includes a one-off gain related to the ITC Hotels demerger (completed Jan 2025). This inflated FY25 Net Profit to Rs 35,052 Cr; excluding it, underlying profit growth was far more modest. See Python analysis for a full breakdown.</t>
  </si>
  <si>
    <t>GROWTH &amp; MARGIN ANALYSIS</t>
  </si>
  <si>
    <t>Sales YoY Growth %</t>
  </si>
  <si>
    <t>Net Profit YoY Growth %</t>
  </si>
  <si>
    <t>Net Profit Margin %</t>
  </si>
  <si>
    <t>Sales 5-Yr CAGR (FY21-FY26)</t>
  </si>
  <si>
    <t>Net Profit 5-Yr CAGR (FY21-FY26)</t>
  </si>
  <si>
    <t>ITC Limited - Balance Sheet (Rs Cr, Consolidated)</t>
  </si>
  <si>
    <t>ASSETS</t>
  </si>
  <si>
    <t>Fixed Assets</t>
  </si>
  <si>
    <t>Capital Work in Progress (CWIP)</t>
  </si>
  <si>
    <t>Investments</t>
  </si>
  <si>
    <t>Other Assets</t>
  </si>
  <si>
    <t>Total Assets</t>
  </si>
  <si>
    <t>EQUITY</t>
  </si>
  <si>
    <t>Share Capital</t>
  </si>
  <si>
    <t>Reserves &amp; Surplus</t>
  </si>
  <si>
    <t>Total Equity</t>
  </si>
  <si>
    <t>LIABILITIES</t>
  </si>
  <si>
    <t>Borrowings</t>
  </si>
  <si>
    <t>Other Liabilities</t>
  </si>
  <si>
    <t>Total Liabilities</t>
  </si>
  <si>
    <t>Total Equity + Liabilities (check)</t>
  </si>
  <si>
    <t>Balance Check (should be 0)</t>
  </si>
  <si>
    <t>Fixed Assets fall from Rs 27,820 Cr (FY24) to Rs 21,955 Cr (FY25) because hotel properties left the balance sheet on demerger. Borrowings jump in FY26 mainly reflects lease-liability reclassification, not new debt - ITC remains effectively debt-free. The balance check shows a Rs 1-2 Cr gap in some years (out of ~Rs 90,000 Cr total assets) - this comes from Screener.in's individually-rounded line items not summing perfectly to its own reported Total Assets figure. This is a real, expected artifact of using rounded third-party aggregated data, not a modeling error - flagged here rather than silently adjusted, per the project's data-consistency principle.</t>
  </si>
  <si>
    <t>ITC Limited - Cash Flow Statement (Rs Cr, Consolidated)</t>
  </si>
  <si>
    <t>Cash from Operations (derived)</t>
  </si>
  <si>
    <t xml:space="preserve">  = Net Profit + Depreciation</t>
  </si>
  <si>
    <t>Cash from Investing</t>
  </si>
  <si>
    <t>Cash from Financing</t>
  </si>
  <si>
    <t>Net Change in Cash</t>
  </si>
  <si>
    <t>Operating Cash Flow here is derived (Net Profit + Depreciation added back) rather than typed in from Screener, to demonstrate understanding of why depreciation is a non-cash add-back. It will not exactly match Screener's reported CFO (which also adjusts for working capital and other items) - that is expected and is explained in the README. Cash from Investing for ITC includes large treasury/investment-portfolio movements (ITC holds a large investment book), not just capex, so it is a rough capex proxy only.</t>
  </si>
  <si>
    <t>ITC Limited - Ratio Analysis</t>
  </si>
  <si>
    <t>Formula Used</t>
  </si>
  <si>
    <t>PROFITABILITY RATIOS</t>
  </si>
  <si>
    <t>Net Profit / Sales</t>
  </si>
  <si>
    <t>EBITDA Margin %</t>
  </si>
  <si>
    <t>(EBIT + Depreciation) / Sales</t>
  </si>
  <si>
    <t>Return on Equity (ROE) %</t>
  </si>
  <si>
    <t>Net Profit / Total Equity</t>
  </si>
  <si>
    <t>Return on Capital Employed (ROCE) %</t>
  </si>
  <si>
    <t>EBIT / (Total Assets - Borrowings)</t>
  </si>
  <si>
    <t>Return on Assets (ROA) %</t>
  </si>
  <si>
    <t>Net Profit / Total Assets</t>
  </si>
  <si>
    <t>LEVERAGE RATIOS</t>
  </si>
  <si>
    <t>Debt to Equity</t>
  </si>
  <si>
    <t>Borrowings / Total Equity</t>
  </si>
  <si>
    <t>Debt to Assets</t>
  </si>
  <si>
    <t>Borrowings / Total Assets</t>
  </si>
  <si>
    <t>Interest Coverage Ratio</t>
  </si>
  <si>
    <t>EBIT / Interest Expense</t>
  </si>
  <si>
    <t>MARKET RATIOS (FY26, using current CMP)</t>
  </si>
  <si>
    <t>P/E Ratio</t>
  </si>
  <si>
    <t>CMP / EPS</t>
  </si>
  <si>
    <t>P/B Ratio</t>
  </si>
  <si>
    <t>Market Cap / Total Equity</t>
  </si>
  <si>
    <t>Dividend Yield % (FY26, reported)</t>
  </si>
  <si>
    <t>Reported by Screener.in, 18 Sep 2026 (not derivable from this workbook's data alone)</t>
  </si>
  <si>
    <t>WORKING CAPITAL (FY26, reported)</t>
  </si>
  <si>
    <t>Cash Conversion Cycle (days)</t>
  </si>
  <si>
    <t>Debtor Days(18) + Inventory Days(209) - Payable Days(63), Screener.in. Not derivable from this simplified Balance Sheet, which does not separately break out receivables/inventory/payables.</t>
  </si>
  <si>
    <t>ITC Limited - Simplified DCF Valuation</t>
  </si>
  <si>
    <t>WACC</t>
  </si>
  <si>
    <t>Cost of Equity (Ke)</t>
  </si>
  <si>
    <t>Cost of Debt, post-tax (Kd)</t>
  </si>
  <si>
    <t>Market Cap (Rs Cr)</t>
  </si>
  <si>
    <t>Total Debt (Rs Cr)</t>
  </si>
  <si>
    <t>Equity Weight</t>
  </si>
  <si>
    <t>Debt Weight</t>
  </si>
  <si>
    <t>FREE CASH FLOW PROJECTION (Rs Cr)</t>
  </si>
  <si>
    <t>FY26 (Base)</t>
  </si>
  <si>
    <t>FY27</t>
  </si>
  <si>
    <t>FY28</t>
  </si>
  <si>
    <t>FY29</t>
  </si>
  <si>
    <t>FY30</t>
  </si>
  <si>
    <t>FY31</t>
  </si>
  <si>
    <t>Revenue</t>
  </si>
  <si>
    <t>EBIT</t>
  </si>
  <si>
    <t>Tax on EBIT</t>
  </si>
  <si>
    <t>NOPAT</t>
  </si>
  <si>
    <t>Add: Depreciation</t>
  </si>
  <si>
    <t>Less: Capex (proxy: -Cash from Investing)</t>
  </si>
  <si>
    <t>Less: Change in Working Capital</t>
  </si>
  <si>
    <t>Free Cash Flow (FCF)</t>
  </si>
  <si>
    <t>TERMINAL VALUE</t>
  </si>
  <si>
    <t>Terminal Value = FCF(FY31) x (1+g) / (WACC-g)</t>
  </si>
  <si>
    <t>DISCOUNTING</t>
  </si>
  <si>
    <t>Discount Factor</t>
  </si>
  <si>
    <t>PV of FCF</t>
  </si>
  <si>
    <t>VALUATION SUMMARY</t>
  </si>
  <si>
    <t>Sum of PV of FCFs</t>
  </si>
  <si>
    <t>PV of Terminal Value</t>
  </si>
  <si>
    <t>Enterprise Value (EV)</t>
  </si>
  <si>
    <t>Equity Value</t>
  </si>
  <si>
    <t>Implied Share Price (Rs)</t>
  </si>
  <si>
    <t>Upside / (Downside) vs CMP %</t>
  </si>
  <si>
    <t>SIMPLE SENSITIVITY: Implied Price vs. WACC</t>
  </si>
  <si>
    <t>WACC -1%</t>
  </si>
  <si>
    <t>WACC (base)</t>
  </si>
  <si>
    <t>WACC +1%</t>
  </si>
  <si>
    <t>ITC Limited - Peer Comparison</t>
  </si>
  <si>
    <t>Metric</t>
  </si>
  <si>
    <t>ITC</t>
  </si>
  <si>
    <t>Godfrey Phillips India</t>
  </si>
  <si>
    <t>Hindustan Unilever (HUL)</t>
  </si>
  <si>
    <t>Revenue FY26 (Rs Cr)</t>
  </si>
  <si>
    <t>Operating Margin FY26 %</t>
  </si>
  <si>
    <t>Net Profit Margin FY26 %</t>
  </si>
  <si>
    <t>ROE % (TTM)</t>
  </si>
  <si>
    <t>P/E Ratio (current)</t>
  </si>
  <si>
    <t>WHY THESE PEERS</t>
  </si>
  <si>
    <t>Godfrey Phillips India is chosen as a direct, pure-play cigarette-business peer (India's #2 domestic cigarette player after ITC) - useful for isolating how ITC's core tobacco economics compare without its FMCG/paperboard/agri diversification. Hindustan Unilever is chosen as the closest large-cap diversified FMCG peer, useful for comparing ITC's FMCG-Others ambitions against an established FMCG leader.</t>
  </si>
  <si>
    <t>INSIGHT</t>
  </si>
  <si>
    <t>Mohammed Noorani</t>
  </si>
  <si>
    <t>MIT Bengaluru</t>
  </si>
  <si>
    <t>Year:</t>
  </si>
  <si>
    <t xml:space="preserve">Less: Debt </t>
  </si>
  <si>
    <t>ITC has the highest operating margin of the three companies but the lowest P/E ratio, highlighting a significant difference between operating profitability and market valuation.</t>
  </si>
  <si>
    <t>Source: Screener.in , Year:2026</t>
  </si>
  <si>
    <t>This is a simplified, Finance Model Analysis Project. Blue text = hardcoded inputs. Black text = formulas. Green text = links to another sheet. All figures are Rs Crore (consolidated) unless stated otherwise.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</si>
</sst>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#,##0;\(#,##0\);\-"/>
    <numFmt numFmtId="166" formatCode="#,##0.00;\(#,##0.00\);\-"/>
    <numFmt numFmtId="167" formatCode="0.0\x"/>
    <numFmt numFmtId="168" formatCode="0&quot; days&quot;"/>
    <numFmt numFmtId="169" formatCode="0.000"/>
  </numFmts>
  <fonts count="12" x14ac:knownFonts="1">
    <font>
      <sz val="11"/>
      <color theme="1"/>
      <name val="Calibri"/>
      <family val="2"/>
      <charset val="1"/>
    </font>
    <font>
      <b/>
      <sz val="16"/>
      <color rgb="FF8B1A1A"/>
      <name val="Cambria"/>
      <charset val="1"/>
    </font>
    <font>
      <i/>
      <sz val="12"/>
      <name val="Cambria"/>
      <charset val="1"/>
    </font>
    <font>
      <b/>
      <sz val="11"/>
      <color rgb="FF8B1A1A"/>
      <name val="Cambria"/>
      <charset val="1"/>
    </font>
    <font>
      <b/>
      <sz val="14"/>
      <color rgb="FF8B1A1A"/>
      <name val="Cambria"/>
      <charset val="1"/>
    </font>
    <font>
      <i/>
      <sz val="9"/>
      <name val="Cambria"/>
      <charset val="1"/>
    </font>
    <font>
      <sz val="11"/>
      <color rgb="FF0000FF"/>
      <name val="Cambria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  <font>
      <sz val="11"/>
      <color rgb="FF000000"/>
      <name val="Cambria"/>
      <charset val="1"/>
    </font>
    <font>
      <sz val="11"/>
      <color rgb="FF008000"/>
      <name val="Cambria"/>
      <charset val="1"/>
    </font>
    <font>
      <b/>
      <sz val="9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8B1A1A"/>
        <bgColor rgb="FF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64" fontId="6" fillId="0" borderId="0" xfId="0" applyNumberFormat="1" applyFont="1"/>
    <xf numFmtId="165" fontId="6" fillId="0" borderId="0" xfId="0" applyNumberFormat="1" applyFont="1"/>
    <xf numFmtId="2" fontId="6" fillId="0" borderId="0" xfId="0" applyNumberFormat="1" applyFont="1"/>
    <xf numFmtId="164" fontId="0" fillId="0" borderId="0" xfId="0" applyNumberFormat="1"/>
    <xf numFmtId="166" fontId="6" fillId="0" borderId="0" xfId="0" applyNumberFormat="1" applyFont="1"/>
    <xf numFmtId="0" fontId="7" fillId="0" borderId="0" xfId="0" applyFont="1"/>
    <xf numFmtId="0" fontId="8" fillId="2" borderId="0" xfId="0" applyFont="1" applyFill="1" applyAlignment="1">
      <alignment horizontal="center"/>
    </xf>
    <xf numFmtId="0" fontId="9" fillId="0" borderId="0" xfId="0" applyFont="1"/>
    <xf numFmtId="165" fontId="0" fillId="0" borderId="0" xfId="0" applyNumberFormat="1"/>
    <xf numFmtId="165" fontId="10" fillId="0" borderId="0" xfId="0" applyNumberFormat="1" applyFont="1"/>
    <xf numFmtId="0" fontId="8" fillId="2" borderId="0" xfId="0" applyFont="1" applyFill="1"/>
    <xf numFmtId="164" fontId="10" fillId="0" borderId="0" xfId="0" applyNumberFormat="1" applyFont="1"/>
    <xf numFmtId="166" fontId="10" fillId="0" borderId="0" xfId="0" applyNumberFormat="1" applyFont="1"/>
    <xf numFmtId="167" fontId="10" fillId="0" borderId="0" xfId="0" applyNumberFormat="1" applyFont="1"/>
    <xf numFmtId="168" fontId="6" fillId="0" borderId="0" xfId="0" applyNumberFormat="1" applyFont="1"/>
    <xf numFmtId="164" fontId="7" fillId="0" borderId="0" xfId="0" applyNumberFormat="1" applyFont="1"/>
    <xf numFmtId="165" fontId="7" fillId="0" borderId="0" xfId="0" applyNumberFormat="1" applyFont="1"/>
    <xf numFmtId="169" fontId="0" fillId="0" borderId="0" xfId="0" applyNumberFormat="1"/>
    <xf numFmtId="167" fontId="6" fillId="0" borderId="0" xfId="0" applyNumberFormat="1" applyFont="1"/>
    <xf numFmtId="0" fontId="11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8B1A1A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&amp; Net Profit Trend (FY21-FY26)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'Income Statement'!$B$3:$G$3</c:f>
              <c:strCache>
                <c:ptCount val="6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</c:v>
                </c:pt>
              </c:strCache>
            </c:strRef>
          </c:cat>
          <c:val>
            <c:numRef>
              <c:f>'Income Statement'!$B$4:$G$4</c:f>
              <c:numCache>
                <c:formatCode>#,##0;\(#,##0\);\-</c:formatCode>
                <c:ptCount val="6"/>
                <c:pt idx="0">
                  <c:v>49257</c:v>
                </c:pt>
                <c:pt idx="1">
                  <c:v>60645</c:v>
                </c:pt>
                <c:pt idx="2">
                  <c:v>70919</c:v>
                </c:pt>
                <c:pt idx="3">
                  <c:v>67932</c:v>
                </c:pt>
                <c:pt idx="4">
                  <c:v>75323</c:v>
                </c:pt>
                <c:pt idx="5">
                  <c:v>78868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47-4E13-8AA9-646703968E54}"/>
            </c:ext>
          </c:extLst>
        </c:ser>
        <c:ser>
          <c:idx val="1"/>
          <c:order val="1"/>
          <c:tx>
            <c:v>Net Profit</c:v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'Income Statement'!$B$3:$G$3</c:f>
              <c:strCache>
                <c:ptCount val="6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</c:v>
                </c:pt>
              </c:strCache>
            </c:strRef>
          </c:cat>
          <c:val>
            <c:numRef>
              <c:f>'Income Statement'!$B$13:$G$13</c:f>
              <c:numCache>
                <c:formatCode>#,##0;\(#,##0\);\-</c:formatCode>
                <c:ptCount val="6"/>
                <c:pt idx="0">
                  <c:v>13383</c:v>
                </c:pt>
                <c:pt idx="1">
                  <c:v>15503</c:v>
                </c:pt>
                <c:pt idx="2">
                  <c:v>19477</c:v>
                </c:pt>
                <c:pt idx="3">
                  <c:v>20751</c:v>
                </c:pt>
                <c:pt idx="4">
                  <c:v>35052</c:v>
                </c:pt>
                <c:pt idx="5">
                  <c:v>21018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447-4E13-8AA9-646703968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7311465"/>
        <c:axId val="2148009"/>
      </c:lineChart>
      <c:catAx>
        <c:axId val="973114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48009"/>
        <c:crosses val="autoZero"/>
        <c:auto val="1"/>
        <c:lblAlgn val="ctr"/>
        <c:lblOffset val="100"/>
        <c:noMultiLvlLbl val="0"/>
      </c:catAx>
      <c:valAx>
        <c:axId val="21480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Rs Cr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3114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OPM % and Net Profit Margin %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OPM %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'Income Statement'!$B$3:$G$3</c:f>
              <c:strCache>
                <c:ptCount val="6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</c:v>
                </c:pt>
              </c:strCache>
            </c:strRef>
          </c:cat>
          <c:val>
            <c:numRef>
              <c:f>'Income Statement'!$B$7:$G$7</c:f>
              <c:numCache>
                <c:formatCode>0.0%</c:formatCode>
                <c:ptCount val="6"/>
                <c:pt idx="0">
                  <c:v>0.34642791887447472</c:v>
                </c:pt>
                <c:pt idx="1">
                  <c:v>0.34007750020611754</c:v>
                </c:pt>
                <c:pt idx="2">
                  <c:v>0.36244165879383522</c:v>
                </c:pt>
                <c:pt idx="3">
                  <c:v>0.37078254725313547</c:v>
                </c:pt>
                <c:pt idx="4">
                  <c:v>0.34293642048245554</c:v>
                </c:pt>
                <c:pt idx="5">
                  <c:v>0.34622407059897553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BC-4FED-9536-3E00A585D1D5}"/>
            </c:ext>
          </c:extLst>
        </c:ser>
        <c:ser>
          <c:idx val="1"/>
          <c:order val="1"/>
          <c:tx>
            <c:v>Net Profit Margin %</c:v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'Income Statement'!$B$3:$G$3</c:f>
              <c:strCache>
                <c:ptCount val="6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</c:v>
                </c:pt>
              </c:strCache>
            </c:strRef>
          </c:cat>
          <c:val>
            <c:numRef>
              <c:f>'Income Statement'!$B$23:$G$23</c:f>
              <c:numCache>
                <c:formatCode>0.0%</c:formatCode>
                <c:ptCount val="6"/>
                <c:pt idx="0">
                  <c:v>0.27169742371642608</c:v>
                </c:pt>
                <c:pt idx="1">
                  <c:v>0.25563525434908074</c:v>
                </c:pt>
                <c:pt idx="2">
                  <c:v>0.27463726222873985</c:v>
                </c:pt>
                <c:pt idx="3">
                  <c:v>0.30546723193782016</c:v>
                </c:pt>
                <c:pt idx="4">
                  <c:v>0.46535586739774037</c:v>
                </c:pt>
                <c:pt idx="5">
                  <c:v>0.26649591722878735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CBC-4FED-9536-3E00A585D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7987342"/>
        <c:axId val="18333794"/>
      </c:lineChart>
      <c:catAx>
        <c:axId val="579873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333794"/>
        <c:crosses val="autoZero"/>
        <c:auto val="1"/>
        <c:lblAlgn val="ctr"/>
        <c:lblOffset val="100"/>
        <c:noMultiLvlLbl val="0"/>
      </c:catAx>
      <c:valAx>
        <c:axId val="183337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9873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ROE vs ROCE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ROE %</c:v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 Analysis'!$B$3:$G$3</c:f>
              <c:strCache>
                <c:ptCount val="6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</c:v>
                </c:pt>
              </c:strCache>
            </c:strRef>
          </c:cat>
          <c:val>
            <c:numRef>
              <c:f>'Ratio Analysis'!$B$7:$G$7</c:f>
              <c:numCache>
                <c:formatCode>0.0%</c:formatCode>
                <c:ptCount val="6"/>
                <c:pt idx="0">
                  <c:v>0.22176744494341061</c:v>
                </c:pt>
                <c:pt idx="1">
                  <c:v>0.24822672324073333</c:v>
                </c:pt>
                <c:pt idx="2">
                  <c:v>0.28164268671824161</c:v>
                </c:pt>
                <c:pt idx="3">
                  <c:v>0.27851074395694364</c:v>
                </c:pt>
                <c:pt idx="4">
                  <c:v>0.50052834499500209</c:v>
                </c:pt>
                <c:pt idx="5">
                  <c:v>0.2898754603003848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6A-43FF-A8F0-34A289994C29}"/>
            </c:ext>
          </c:extLst>
        </c:ser>
        <c:ser>
          <c:idx val="1"/>
          <c:order val="1"/>
          <c:tx>
            <c:v>ROCE %</c:v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 Analysis'!$B$3:$G$3</c:f>
              <c:strCache>
                <c:ptCount val="6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</c:v>
                </c:pt>
              </c:strCache>
            </c:strRef>
          </c:cat>
          <c:val>
            <c:numRef>
              <c:f>'Ratio Analysis'!$B$8:$G$8</c:f>
              <c:numCache>
                <c:formatCode>0.0%</c:formatCode>
                <c:ptCount val="6"/>
                <c:pt idx="0">
                  <c:v>0.23219801602960988</c:v>
                </c:pt>
                <c:pt idx="1">
                  <c:v>0.26802515984820918</c:v>
                </c:pt>
                <c:pt idx="2">
                  <c:v>0.3005472148168935</c:v>
                </c:pt>
                <c:pt idx="3">
                  <c:v>0.27542618451411138</c:v>
                </c:pt>
                <c:pt idx="4">
                  <c:v>0.2944777582708224</c:v>
                </c:pt>
                <c:pt idx="5">
                  <c:v>0.29928319340625614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6A-43FF-A8F0-34A289994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508703"/>
        <c:axId val="48798673"/>
      </c:barChart>
      <c:catAx>
        <c:axId val="855087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798673"/>
        <c:crosses val="autoZero"/>
        <c:auto val="1"/>
        <c:lblAlgn val="ctr"/>
        <c:lblOffset val="100"/>
        <c:noMultiLvlLbl val="0"/>
      </c:catAx>
      <c:valAx>
        <c:axId val="487986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5087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160920</xdr:rowOff>
    </xdr:from>
    <xdr:to>
      <xdr:col>5</xdr:col>
      <xdr:colOff>120600</xdr:colOff>
      <xdr:row>43</xdr:row>
      <xdr:rowOff>161640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44</xdr:row>
      <xdr:rowOff>160920</xdr:rowOff>
    </xdr:from>
    <xdr:to>
      <xdr:col>5</xdr:col>
      <xdr:colOff>120600</xdr:colOff>
      <xdr:row>61</xdr:row>
      <xdr:rowOff>161640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160560</xdr:rowOff>
    </xdr:from>
    <xdr:to>
      <xdr:col>4</xdr:col>
      <xdr:colOff>684360</xdr:colOff>
      <xdr:row>41</xdr:row>
      <xdr:rowOff>161280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3"/>
  <sheetViews>
    <sheetView zoomScale="72" zoomScaleNormal="100" workbookViewId="0">
      <selection activeCell="A31" sqref="A31:G33"/>
    </sheetView>
  </sheetViews>
  <sheetFormatPr defaultColWidth="8.6640625" defaultRowHeight="14.4" x14ac:dyDescent="0.3"/>
  <cols>
    <col min="1" max="1" width="60" customWidth="1"/>
    <col min="2" max="2" width="20" customWidth="1"/>
  </cols>
  <sheetData>
    <row r="1" spans="1:7" ht="20.399999999999999" x14ac:dyDescent="0.35">
      <c r="A1" s="1" t="s">
        <v>0</v>
      </c>
    </row>
    <row r="2" spans="1:7" ht="15.6" x14ac:dyDescent="0.3">
      <c r="A2" s="2" t="s">
        <v>1</v>
      </c>
    </row>
    <row r="4" spans="1:7" x14ac:dyDescent="0.3">
      <c r="A4" t="s">
        <v>2</v>
      </c>
      <c r="B4" t="s">
        <v>184</v>
      </c>
    </row>
    <row r="5" spans="1:7" x14ac:dyDescent="0.3">
      <c r="A5" t="s">
        <v>3</v>
      </c>
      <c r="B5" t="s">
        <v>185</v>
      </c>
    </row>
    <row r="6" spans="1:7" x14ac:dyDescent="0.3">
      <c r="A6" t="s">
        <v>186</v>
      </c>
      <c r="B6" s="29">
        <v>2026</v>
      </c>
    </row>
    <row r="8" spans="1:7" x14ac:dyDescent="0.3">
      <c r="A8" s="3" t="s">
        <v>4</v>
      </c>
    </row>
    <row r="9" spans="1:7" ht="15" customHeight="1" x14ac:dyDescent="0.3">
      <c r="A9" s="28" t="s">
        <v>5</v>
      </c>
      <c r="B9" s="28"/>
      <c r="C9" s="28"/>
      <c r="D9" s="28"/>
      <c r="E9" s="28"/>
      <c r="F9" s="28"/>
      <c r="G9" s="28"/>
    </row>
    <row r="10" spans="1:7" x14ac:dyDescent="0.3">
      <c r="A10" s="28"/>
      <c r="B10" s="28"/>
      <c r="C10" s="28"/>
      <c r="D10" s="28"/>
      <c r="E10" s="28"/>
      <c r="F10" s="28"/>
      <c r="G10" s="28"/>
    </row>
    <row r="11" spans="1:7" x14ac:dyDescent="0.3">
      <c r="A11" s="28"/>
      <c r="B11" s="28"/>
      <c r="C11" s="28"/>
      <c r="D11" s="28"/>
      <c r="E11" s="28"/>
      <c r="F11" s="28"/>
      <c r="G11" s="28"/>
    </row>
    <row r="12" spans="1:7" x14ac:dyDescent="0.3">
      <c r="A12" s="28"/>
      <c r="B12" s="28"/>
      <c r="C12" s="28"/>
      <c r="D12" s="28"/>
      <c r="E12" s="28"/>
      <c r="F12" s="28"/>
      <c r="G12" s="28"/>
    </row>
    <row r="14" spans="1:7" x14ac:dyDescent="0.3">
      <c r="A14" s="3" t="s">
        <v>6</v>
      </c>
    </row>
    <row r="15" spans="1:7" x14ac:dyDescent="0.3">
      <c r="A15" t="s">
        <v>7</v>
      </c>
    </row>
    <row r="16" spans="1:7" x14ac:dyDescent="0.3">
      <c r="A16" t="s">
        <v>8</v>
      </c>
    </row>
    <row r="17" spans="1:7" x14ac:dyDescent="0.3">
      <c r="A17" t="s">
        <v>9</v>
      </c>
    </row>
    <row r="18" spans="1:7" x14ac:dyDescent="0.3">
      <c r="A18" t="s">
        <v>10</v>
      </c>
    </row>
    <row r="19" spans="1:7" x14ac:dyDescent="0.3">
      <c r="A19" t="s">
        <v>11</v>
      </c>
    </row>
    <row r="20" spans="1:7" x14ac:dyDescent="0.3">
      <c r="A20" t="s">
        <v>12</v>
      </c>
    </row>
    <row r="21" spans="1:7" x14ac:dyDescent="0.3">
      <c r="A21" t="s">
        <v>13</v>
      </c>
    </row>
    <row r="24" spans="1:7" x14ac:dyDescent="0.3">
      <c r="A24" s="3" t="s">
        <v>14</v>
      </c>
    </row>
    <row r="25" spans="1:7" x14ac:dyDescent="0.3">
      <c r="A25" t="s">
        <v>15</v>
      </c>
    </row>
    <row r="26" spans="1:7" x14ac:dyDescent="0.3">
      <c r="A26" t="s">
        <v>16</v>
      </c>
    </row>
    <row r="27" spans="1:7" x14ac:dyDescent="0.3">
      <c r="A27" t="s">
        <v>17</v>
      </c>
    </row>
    <row r="28" spans="1:7" x14ac:dyDescent="0.3">
      <c r="A28" t="s">
        <v>18</v>
      </c>
    </row>
    <row r="30" spans="1:7" x14ac:dyDescent="0.3">
      <c r="A30" s="3" t="s">
        <v>19</v>
      </c>
    </row>
    <row r="31" spans="1:7" ht="15" customHeight="1" x14ac:dyDescent="0.3">
      <c r="A31" s="28" t="s">
        <v>190</v>
      </c>
      <c r="B31" s="28"/>
      <c r="C31" s="28"/>
      <c r="D31" s="28"/>
      <c r="E31" s="28"/>
      <c r="F31" s="28"/>
      <c r="G31" s="28"/>
    </row>
    <row r="32" spans="1:7" x14ac:dyDescent="0.3">
      <c r="A32" s="28"/>
      <c r="B32" s="28"/>
      <c r="C32" s="28"/>
      <c r="D32" s="28"/>
      <c r="E32" s="28"/>
      <c r="F32" s="28"/>
      <c r="G32" s="28"/>
    </row>
    <row r="33" spans="1:7" x14ac:dyDescent="0.3">
      <c r="A33" s="28"/>
      <c r="B33" s="28"/>
      <c r="C33" s="28"/>
      <c r="D33" s="28"/>
      <c r="E33" s="28"/>
      <c r="F33" s="28"/>
      <c r="G33" s="28"/>
    </row>
  </sheetData>
  <mergeCells count="2">
    <mergeCell ref="A9:G12"/>
    <mergeCell ref="A31:G3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2"/>
  <sheetViews>
    <sheetView zoomScaleNormal="100" workbookViewId="0">
      <selection activeCell="B18" sqref="B18"/>
    </sheetView>
  </sheetViews>
  <sheetFormatPr defaultColWidth="8.6640625" defaultRowHeight="14.4" x14ac:dyDescent="0.3"/>
  <cols>
    <col min="1" max="1" width="42" customWidth="1"/>
    <col min="2" max="2" width="14" customWidth="1"/>
    <col min="3" max="3" width="62" customWidth="1"/>
  </cols>
  <sheetData>
    <row r="1" spans="1:7" ht="17.399999999999999" x14ac:dyDescent="0.3">
      <c r="A1" s="27" t="s">
        <v>20</v>
      </c>
      <c r="B1" s="27"/>
      <c r="C1" s="27"/>
      <c r="D1" s="27"/>
      <c r="E1" s="27"/>
      <c r="F1" s="27"/>
      <c r="G1" s="27"/>
    </row>
    <row r="2" spans="1:7" x14ac:dyDescent="0.3">
      <c r="A2" s="4" t="s">
        <v>21</v>
      </c>
    </row>
    <row r="4" spans="1:7" x14ac:dyDescent="0.3">
      <c r="A4" s="5" t="s">
        <v>22</v>
      </c>
    </row>
    <row r="5" spans="1:7" x14ac:dyDescent="0.3">
      <c r="A5" s="6" t="s">
        <v>23</v>
      </c>
      <c r="B5" s="7">
        <v>0.08</v>
      </c>
      <c r="C5" t="s">
        <v>24</v>
      </c>
    </row>
    <row r="6" spans="1:7" x14ac:dyDescent="0.3">
      <c r="A6" s="6" t="s">
        <v>25</v>
      </c>
      <c r="B6" s="7">
        <v>0.35</v>
      </c>
      <c r="C6" t="s">
        <v>26</v>
      </c>
    </row>
    <row r="7" spans="1:7" x14ac:dyDescent="0.3">
      <c r="A7" s="6" t="s">
        <v>27</v>
      </c>
      <c r="B7" s="7">
        <v>0.25</v>
      </c>
      <c r="C7" t="s">
        <v>28</v>
      </c>
    </row>
    <row r="8" spans="1:7" x14ac:dyDescent="0.3">
      <c r="A8" s="6" t="s">
        <v>29</v>
      </c>
      <c r="B8" s="7">
        <v>0.05</v>
      </c>
    </row>
    <row r="9" spans="1:7" x14ac:dyDescent="0.3">
      <c r="A9" s="6" t="s">
        <v>30</v>
      </c>
      <c r="B9" s="7">
        <v>0.04</v>
      </c>
    </row>
    <row r="10" spans="1:7" x14ac:dyDescent="0.3">
      <c r="A10" s="6" t="s">
        <v>31</v>
      </c>
      <c r="B10" s="8">
        <v>300</v>
      </c>
    </row>
    <row r="11" spans="1:7" x14ac:dyDescent="0.3">
      <c r="A11" s="6"/>
    </row>
    <row r="12" spans="1:7" x14ac:dyDescent="0.3">
      <c r="A12" s="6"/>
    </row>
    <row r="13" spans="1:7" x14ac:dyDescent="0.3">
      <c r="A13" s="5" t="s">
        <v>32</v>
      </c>
    </row>
    <row r="14" spans="1:7" x14ac:dyDescent="0.3">
      <c r="A14" s="6" t="s">
        <v>33</v>
      </c>
      <c r="B14" s="7">
        <v>7.0999999999999994E-2</v>
      </c>
      <c r="C14" t="s">
        <v>34</v>
      </c>
    </row>
    <row r="15" spans="1:7" x14ac:dyDescent="0.3">
      <c r="A15" s="6" t="s">
        <v>35</v>
      </c>
      <c r="B15" s="9">
        <v>0.35</v>
      </c>
      <c r="C15" t="s">
        <v>36</v>
      </c>
    </row>
    <row r="16" spans="1:7" x14ac:dyDescent="0.3">
      <c r="A16" s="6" t="s">
        <v>37</v>
      </c>
      <c r="B16" s="7">
        <v>0.06</v>
      </c>
      <c r="C16" t="s">
        <v>38</v>
      </c>
    </row>
    <row r="17" spans="1:7" x14ac:dyDescent="0.3">
      <c r="A17" s="6" t="s">
        <v>39</v>
      </c>
      <c r="B17" s="10">
        <f>B14+(B15*B16)</f>
        <v>9.1999999999999998E-2</v>
      </c>
    </row>
    <row r="18" spans="1:7" x14ac:dyDescent="0.3">
      <c r="A18" s="6" t="s">
        <v>40</v>
      </c>
      <c r="B18" s="7">
        <v>7.4999999999999997E-2</v>
      </c>
      <c r="C18" t="s">
        <v>41</v>
      </c>
    </row>
    <row r="19" spans="1:7" x14ac:dyDescent="0.3">
      <c r="A19" s="6" t="s">
        <v>42</v>
      </c>
      <c r="B19" s="10">
        <f>B18*(1-B7)</f>
        <v>5.6249999999999994E-2</v>
      </c>
    </row>
    <row r="20" spans="1:7" x14ac:dyDescent="0.3">
      <c r="A20" s="6"/>
    </row>
    <row r="21" spans="1:7" x14ac:dyDescent="0.3">
      <c r="A21" s="6"/>
    </row>
    <row r="22" spans="1:7" x14ac:dyDescent="0.3">
      <c r="A22" s="5" t="s">
        <v>43</v>
      </c>
    </row>
    <row r="23" spans="1:7" x14ac:dyDescent="0.3">
      <c r="A23" s="6" t="s">
        <v>44</v>
      </c>
      <c r="B23" s="7">
        <v>0.05</v>
      </c>
    </row>
    <row r="24" spans="1:7" x14ac:dyDescent="0.3">
      <c r="A24" s="6" t="s">
        <v>45</v>
      </c>
      <c r="B24" s="8">
        <v>262</v>
      </c>
      <c r="C24" t="s">
        <v>46</v>
      </c>
    </row>
    <row r="25" spans="1:7" x14ac:dyDescent="0.3">
      <c r="A25" s="6" t="s">
        <v>47</v>
      </c>
      <c r="B25" s="11">
        <v>1254.5</v>
      </c>
      <c r="C25" t="s">
        <v>48</v>
      </c>
    </row>
    <row r="28" spans="1:7" x14ac:dyDescent="0.3">
      <c r="A28" s="3" t="s">
        <v>49</v>
      </c>
    </row>
    <row r="29" spans="1:7" ht="15" customHeight="1" x14ac:dyDescent="0.3">
      <c r="A29" s="28" t="s">
        <v>50</v>
      </c>
      <c r="B29" s="28"/>
      <c r="C29" s="28"/>
      <c r="D29" s="28"/>
      <c r="E29" s="28"/>
      <c r="F29" s="28"/>
      <c r="G29" s="28"/>
    </row>
    <row r="30" spans="1:7" x14ac:dyDescent="0.3">
      <c r="A30" s="28"/>
      <c r="B30" s="28"/>
      <c r="C30" s="28"/>
      <c r="D30" s="28"/>
      <c r="E30" s="28"/>
      <c r="F30" s="28"/>
      <c r="G30" s="28"/>
    </row>
    <row r="31" spans="1:7" x14ac:dyDescent="0.3">
      <c r="A31" s="28"/>
      <c r="B31" s="28"/>
      <c r="C31" s="28"/>
      <c r="D31" s="28"/>
      <c r="E31" s="28"/>
      <c r="F31" s="28"/>
      <c r="G31" s="28"/>
    </row>
    <row r="32" spans="1:7" x14ac:dyDescent="0.3">
      <c r="A32" s="28"/>
      <c r="B32" s="28"/>
      <c r="C32" s="28"/>
      <c r="D32" s="28"/>
      <c r="E32" s="28"/>
      <c r="F32" s="28"/>
      <c r="G32" s="28"/>
    </row>
  </sheetData>
  <mergeCells count="2">
    <mergeCell ref="A1:G1"/>
    <mergeCell ref="A29:G3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6"/>
  <sheetViews>
    <sheetView zoomScaleNormal="100" workbookViewId="0">
      <selection sqref="A1:G1"/>
    </sheetView>
  </sheetViews>
  <sheetFormatPr defaultColWidth="8.6640625" defaultRowHeight="14.4" x14ac:dyDescent="0.3"/>
  <cols>
    <col min="1" max="1" width="32" customWidth="1"/>
    <col min="2" max="7" width="12" customWidth="1"/>
  </cols>
  <sheetData>
    <row r="1" spans="1:7" ht="17.399999999999999" x14ac:dyDescent="0.3">
      <c r="A1" s="27" t="s">
        <v>51</v>
      </c>
      <c r="B1" s="27"/>
      <c r="C1" s="27"/>
      <c r="D1" s="27"/>
      <c r="E1" s="27"/>
      <c r="F1" s="27"/>
      <c r="G1" s="27"/>
    </row>
    <row r="3" spans="1:7" x14ac:dyDescent="0.3">
      <c r="A3" s="12" t="s">
        <v>52</v>
      </c>
      <c r="B3" s="13" t="s">
        <v>53</v>
      </c>
      <c r="C3" s="13" t="s">
        <v>54</v>
      </c>
      <c r="D3" s="13" t="s">
        <v>55</v>
      </c>
      <c r="E3" s="13" t="s">
        <v>56</v>
      </c>
      <c r="F3" s="13" t="s">
        <v>57</v>
      </c>
      <c r="G3" s="13" t="s">
        <v>58</v>
      </c>
    </row>
    <row r="4" spans="1:7" x14ac:dyDescent="0.3">
      <c r="A4" s="14" t="s">
        <v>59</v>
      </c>
      <c r="B4" s="8">
        <v>49257</v>
      </c>
      <c r="C4" s="8">
        <v>60645</v>
      </c>
      <c r="D4" s="8">
        <v>70919</v>
      </c>
      <c r="E4" s="8">
        <v>67932</v>
      </c>
      <c r="F4" s="8">
        <v>75323</v>
      </c>
      <c r="G4" s="8">
        <v>78868</v>
      </c>
    </row>
    <row r="5" spans="1:7" x14ac:dyDescent="0.3">
      <c r="A5" s="14" t="s">
        <v>60</v>
      </c>
      <c r="B5" s="8">
        <v>32193</v>
      </c>
      <c r="C5" s="8">
        <v>40021</v>
      </c>
      <c r="D5" s="8">
        <v>45215</v>
      </c>
      <c r="E5" s="8">
        <v>42744</v>
      </c>
      <c r="F5" s="8">
        <v>49492</v>
      </c>
      <c r="G5" s="8">
        <v>51562</v>
      </c>
    </row>
    <row r="6" spans="1:7" x14ac:dyDescent="0.3">
      <c r="A6" s="12" t="s">
        <v>61</v>
      </c>
      <c r="B6" s="15">
        <f t="shared" ref="B6:G6" si="0">B4-B5</f>
        <v>17064</v>
      </c>
      <c r="C6" s="15">
        <f t="shared" si="0"/>
        <v>20624</v>
      </c>
      <c r="D6" s="15">
        <f t="shared" si="0"/>
        <v>25704</v>
      </c>
      <c r="E6" s="15">
        <f t="shared" si="0"/>
        <v>25188</v>
      </c>
      <c r="F6" s="15">
        <f t="shared" si="0"/>
        <v>25831</v>
      </c>
      <c r="G6" s="15">
        <f t="shared" si="0"/>
        <v>27306</v>
      </c>
    </row>
    <row r="7" spans="1:7" x14ac:dyDescent="0.3">
      <c r="A7" s="14" t="s">
        <v>62</v>
      </c>
      <c r="B7" s="10">
        <f t="shared" ref="B7:G7" si="1">B6/B4</f>
        <v>0.34642791887447472</v>
      </c>
      <c r="C7" s="10">
        <f t="shared" si="1"/>
        <v>0.34007750020611754</v>
      </c>
      <c r="D7" s="10">
        <f t="shared" si="1"/>
        <v>0.36244165879383522</v>
      </c>
      <c r="E7" s="10">
        <f t="shared" si="1"/>
        <v>0.37078254725313547</v>
      </c>
      <c r="F7" s="10">
        <f t="shared" si="1"/>
        <v>0.34293642048245554</v>
      </c>
      <c r="G7" s="10">
        <f t="shared" si="1"/>
        <v>0.34622407059897553</v>
      </c>
    </row>
    <row r="8" spans="1:7" x14ac:dyDescent="0.3">
      <c r="A8" s="14" t="s">
        <v>63</v>
      </c>
      <c r="B8" s="8">
        <v>2577</v>
      </c>
      <c r="C8" s="8">
        <v>1910</v>
      </c>
      <c r="D8" s="8">
        <v>2098</v>
      </c>
      <c r="E8" s="8">
        <v>3330</v>
      </c>
      <c r="F8" s="8">
        <v>17803</v>
      </c>
      <c r="G8" s="8">
        <v>2523</v>
      </c>
    </row>
    <row r="9" spans="1:7" x14ac:dyDescent="0.3">
      <c r="A9" s="14" t="s">
        <v>64</v>
      </c>
      <c r="B9" s="8">
        <v>58</v>
      </c>
      <c r="C9" s="8">
        <v>60</v>
      </c>
      <c r="D9" s="8">
        <v>78</v>
      </c>
      <c r="E9" s="8">
        <v>39</v>
      </c>
      <c r="F9" s="8">
        <v>45</v>
      </c>
      <c r="G9" s="8">
        <v>85</v>
      </c>
    </row>
    <row r="10" spans="1:7" x14ac:dyDescent="0.3">
      <c r="A10" s="14" t="s">
        <v>65</v>
      </c>
      <c r="B10" s="8">
        <v>1646</v>
      </c>
      <c r="C10" s="8">
        <v>1732</v>
      </c>
      <c r="D10" s="8">
        <v>1809</v>
      </c>
      <c r="E10" s="8">
        <v>1518</v>
      </c>
      <c r="F10" s="8">
        <v>1646</v>
      </c>
      <c r="G10" s="8">
        <v>1711</v>
      </c>
    </row>
    <row r="11" spans="1:7" x14ac:dyDescent="0.3">
      <c r="A11" s="12" t="s">
        <v>66</v>
      </c>
      <c r="B11" s="15">
        <f t="shared" ref="B11:G11" si="2">B6+B8-B9-B10</f>
        <v>17937</v>
      </c>
      <c r="C11" s="15">
        <f t="shared" si="2"/>
        <v>20742</v>
      </c>
      <c r="D11" s="15">
        <f t="shared" si="2"/>
        <v>25915</v>
      </c>
      <c r="E11" s="15">
        <f t="shared" si="2"/>
        <v>26961</v>
      </c>
      <c r="F11" s="15">
        <f t="shared" si="2"/>
        <v>41943</v>
      </c>
      <c r="G11" s="15">
        <f t="shared" si="2"/>
        <v>28033</v>
      </c>
    </row>
    <row r="12" spans="1:7" x14ac:dyDescent="0.3">
      <c r="A12" s="14" t="s">
        <v>67</v>
      </c>
      <c r="B12" s="10">
        <f t="shared" ref="B12:G12" si="3">1-(B13/B11)</f>
        <v>0.25388861013547415</v>
      </c>
      <c r="C12" s="10">
        <f t="shared" si="3"/>
        <v>0.25257930768489056</v>
      </c>
      <c r="D12" s="10">
        <f t="shared" si="3"/>
        <v>0.24842755161103613</v>
      </c>
      <c r="E12" s="10">
        <f t="shared" si="3"/>
        <v>0.23033270279292306</v>
      </c>
      <c r="F12" s="10">
        <f t="shared" si="3"/>
        <v>0.1642943995422359</v>
      </c>
      <c r="G12" s="10">
        <f t="shared" si="3"/>
        <v>0.25024078764313484</v>
      </c>
    </row>
    <row r="13" spans="1:7" x14ac:dyDescent="0.3">
      <c r="A13" s="12" t="s">
        <v>68</v>
      </c>
      <c r="B13" s="8">
        <v>13383</v>
      </c>
      <c r="C13" s="8">
        <v>15503</v>
      </c>
      <c r="D13" s="8">
        <v>19477</v>
      </c>
      <c r="E13" s="8">
        <v>20751</v>
      </c>
      <c r="F13" s="8">
        <v>35052</v>
      </c>
      <c r="G13" s="8">
        <v>21018</v>
      </c>
    </row>
    <row r="14" spans="1:7" x14ac:dyDescent="0.3">
      <c r="A14" s="14" t="s">
        <v>69</v>
      </c>
      <c r="B14" s="11">
        <v>10.69</v>
      </c>
      <c r="C14" s="11">
        <v>12.37</v>
      </c>
      <c r="D14" s="11">
        <v>15.44</v>
      </c>
      <c r="E14" s="11">
        <v>16.39</v>
      </c>
      <c r="F14" s="11">
        <v>27.77</v>
      </c>
      <c r="G14" s="11">
        <v>16.510000000000002</v>
      </c>
    </row>
    <row r="16" spans="1:7" x14ac:dyDescent="0.3">
      <c r="A16" s="3" t="s">
        <v>70</v>
      </c>
    </row>
    <row r="17" spans="1:7" ht="15" customHeight="1" x14ac:dyDescent="0.3">
      <c r="A17" s="28" t="s">
        <v>71</v>
      </c>
      <c r="B17" s="28"/>
      <c r="C17" s="28"/>
      <c r="D17" s="28"/>
      <c r="E17" s="28"/>
      <c r="F17" s="28"/>
      <c r="G17" s="28"/>
    </row>
    <row r="18" spans="1:7" x14ac:dyDescent="0.3">
      <c r="A18" s="28"/>
      <c r="B18" s="28"/>
      <c r="C18" s="28"/>
      <c r="D18" s="28"/>
      <c r="E18" s="28"/>
      <c r="F18" s="28"/>
      <c r="G18" s="28"/>
    </row>
    <row r="20" spans="1:7" x14ac:dyDescent="0.3">
      <c r="A20" s="3" t="s">
        <v>72</v>
      </c>
    </row>
    <row r="21" spans="1:7" x14ac:dyDescent="0.3">
      <c r="A21" t="s">
        <v>73</v>
      </c>
      <c r="C21" s="10">
        <f>(C4/B4)-1</f>
        <v>0.23119556611243075</v>
      </c>
      <c r="D21" s="10">
        <f>(D4/C4)-1</f>
        <v>0.16941215269189547</v>
      </c>
      <c r="E21" s="10">
        <f>(E4/D4)-1</f>
        <v>-4.2118473187721217E-2</v>
      </c>
      <c r="F21" s="10">
        <f>(F4/E4)-1</f>
        <v>0.10879997644703532</v>
      </c>
      <c r="G21" s="10">
        <f>(G4/F4)-1</f>
        <v>4.7063977802265011E-2</v>
      </c>
    </row>
    <row r="22" spans="1:7" x14ac:dyDescent="0.3">
      <c r="A22" t="s">
        <v>74</v>
      </c>
      <c r="C22" s="10">
        <f>(C13/B13)-1</f>
        <v>0.15840992303668844</v>
      </c>
      <c r="D22" s="10">
        <f>(D13/C13)-1</f>
        <v>0.25633748306779336</v>
      </c>
      <c r="E22" s="10">
        <f>(E13/D13)-1</f>
        <v>6.5410484160804971E-2</v>
      </c>
      <c r="F22" s="10">
        <f>(F13/E13)-1</f>
        <v>0.68917160618765361</v>
      </c>
      <c r="G22" s="10">
        <f>(G13/F13)-1</f>
        <v>-0.40037658336186233</v>
      </c>
    </row>
    <row r="23" spans="1:7" x14ac:dyDescent="0.3">
      <c r="A23" t="s">
        <v>75</v>
      </c>
      <c r="B23" s="10">
        <f t="shared" ref="B23:G23" si="4">B13/B4</f>
        <v>0.27169742371642608</v>
      </c>
      <c r="C23" s="10">
        <f t="shared" si="4"/>
        <v>0.25563525434908074</v>
      </c>
      <c r="D23" s="10">
        <f t="shared" si="4"/>
        <v>0.27463726222873985</v>
      </c>
      <c r="E23" s="10">
        <f t="shared" si="4"/>
        <v>0.30546723193782016</v>
      </c>
      <c r="F23" s="10">
        <f t="shared" si="4"/>
        <v>0.46535586739774037</v>
      </c>
      <c r="G23" s="10">
        <f t="shared" si="4"/>
        <v>0.26649591722878735</v>
      </c>
    </row>
    <row r="25" spans="1:7" x14ac:dyDescent="0.3">
      <c r="A25" t="s">
        <v>76</v>
      </c>
      <c r="B25" s="10">
        <f>(G4/B4)^(1/5)-1</f>
        <v>9.8718846334689747E-2</v>
      </c>
    </row>
    <row r="26" spans="1:7" x14ac:dyDescent="0.3">
      <c r="A26" t="s">
        <v>77</v>
      </c>
      <c r="B26" s="10">
        <f>(G13/B13)^(1/5)-1</f>
        <v>9.447937515729099E-2</v>
      </c>
    </row>
  </sheetData>
  <mergeCells count="2">
    <mergeCell ref="A1:G1"/>
    <mergeCell ref="A17:G18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8"/>
  <sheetViews>
    <sheetView topLeftCell="A13" zoomScaleNormal="100" workbookViewId="0">
      <selection sqref="A1:G1"/>
    </sheetView>
  </sheetViews>
  <sheetFormatPr defaultColWidth="8.6640625" defaultRowHeight="14.4" x14ac:dyDescent="0.3"/>
  <cols>
    <col min="1" max="1" width="32" customWidth="1"/>
    <col min="2" max="7" width="12" customWidth="1"/>
  </cols>
  <sheetData>
    <row r="1" spans="1:7" ht="17.399999999999999" x14ac:dyDescent="0.3">
      <c r="A1" s="27" t="s">
        <v>78</v>
      </c>
      <c r="B1" s="27"/>
      <c r="C1" s="27"/>
      <c r="D1" s="27"/>
      <c r="E1" s="27"/>
      <c r="F1" s="27"/>
      <c r="G1" s="27"/>
    </row>
    <row r="3" spans="1:7" x14ac:dyDescent="0.3">
      <c r="A3" s="12" t="s">
        <v>52</v>
      </c>
      <c r="B3" s="13" t="s">
        <v>53</v>
      </c>
      <c r="C3" s="13" t="s">
        <v>54</v>
      </c>
      <c r="D3" s="13" t="s">
        <v>55</v>
      </c>
      <c r="E3" s="13" t="s">
        <v>56</v>
      </c>
      <c r="F3" s="13" t="s">
        <v>57</v>
      </c>
      <c r="G3" s="13" t="s">
        <v>58</v>
      </c>
    </row>
    <row r="4" spans="1:7" x14ac:dyDescent="0.3">
      <c r="A4" s="3" t="s">
        <v>79</v>
      </c>
    </row>
    <row r="5" spans="1:7" x14ac:dyDescent="0.3">
      <c r="A5" t="s">
        <v>80</v>
      </c>
      <c r="B5" s="8">
        <v>23298</v>
      </c>
      <c r="C5" s="8">
        <v>24232</v>
      </c>
      <c r="D5" s="8">
        <v>25851</v>
      </c>
      <c r="E5" s="8">
        <v>27820</v>
      </c>
      <c r="F5" s="8">
        <v>21955</v>
      </c>
      <c r="G5" s="8">
        <v>22443</v>
      </c>
    </row>
    <row r="6" spans="1:7" x14ac:dyDescent="0.3">
      <c r="A6" t="s">
        <v>81</v>
      </c>
      <c r="B6" s="8">
        <v>4011</v>
      </c>
      <c r="C6" s="8">
        <v>3226</v>
      </c>
      <c r="D6" s="8">
        <v>3003</v>
      </c>
      <c r="E6" s="8">
        <v>2861</v>
      </c>
      <c r="F6" s="8">
        <v>1091</v>
      </c>
      <c r="G6" s="8">
        <v>1602</v>
      </c>
    </row>
    <row r="7" spans="1:7" x14ac:dyDescent="0.3">
      <c r="A7" t="s">
        <v>82</v>
      </c>
      <c r="B7" s="8">
        <v>24871</v>
      </c>
      <c r="C7" s="8">
        <v>24841</v>
      </c>
      <c r="D7" s="8">
        <v>29415</v>
      </c>
      <c r="E7" s="8">
        <v>31114</v>
      </c>
      <c r="F7" s="8">
        <v>34720</v>
      </c>
      <c r="G7" s="8">
        <v>38128</v>
      </c>
    </row>
    <row r="8" spans="1:7" x14ac:dyDescent="0.3">
      <c r="A8" t="s">
        <v>83</v>
      </c>
      <c r="B8" s="8">
        <v>21580</v>
      </c>
      <c r="C8" s="8">
        <v>24898</v>
      </c>
      <c r="D8" s="8">
        <v>27561</v>
      </c>
      <c r="E8" s="8">
        <v>29959</v>
      </c>
      <c r="F8" s="8">
        <v>30237</v>
      </c>
      <c r="G8" s="8">
        <v>31464</v>
      </c>
    </row>
    <row r="9" spans="1:7" x14ac:dyDescent="0.3">
      <c r="A9" s="12" t="s">
        <v>84</v>
      </c>
      <c r="B9" s="15">
        <f t="shared" ref="B9:G9" si="0">SUM(B5:B8)</f>
        <v>73760</v>
      </c>
      <c r="C9" s="15">
        <f t="shared" si="0"/>
        <v>77197</v>
      </c>
      <c r="D9" s="15">
        <f t="shared" si="0"/>
        <v>85830</v>
      </c>
      <c r="E9" s="15">
        <f t="shared" si="0"/>
        <v>91754</v>
      </c>
      <c r="F9" s="15">
        <f t="shared" si="0"/>
        <v>88003</v>
      </c>
      <c r="G9" s="15">
        <f t="shared" si="0"/>
        <v>93637</v>
      </c>
    </row>
    <row r="11" spans="1:7" x14ac:dyDescent="0.3">
      <c r="A11" s="3" t="s">
        <v>85</v>
      </c>
    </row>
    <row r="12" spans="1:7" x14ac:dyDescent="0.3">
      <c r="A12" t="s">
        <v>86</v>
      </c>
      <c r="B12" s="8">
        <v>1231</v>
      </c>
      <c r="C12" s="8">
        <v>1232</v>
      </c>
      <c r="D12" s="8">
        <v>1243</v>
      </c>
      <c r="E12" s="8">
        <v>1248</v>
      </c>
      <c r="F12" s="8">
        <v>1251</v>
      </c>
      <c r="G12" s="8">
        <v>1253</v>
      </c>
    </row>
    <row r="13" spans="1:7" x14ac:dyDescent="0.3">
      <c r="A13" t="s">
        <v>87</v>
      </c>
      <c r="B13" s="8">
        <v>59116</v>
      </c>
      <c r="C13" s="8">
        <v>61223</v>
      </c>
      <c r="D13" s="8">
        <v>67912</v>
      </c>
      <c r="E13" s="8">
        <v>73259</v>
      </c>
      <c r="F13" s="8">
        <v>68779</v>
      </c>
      <c r="G13" s="8">
        <v>71254</v>
      </c>
    </row>
    <row r="14" spans="1:7" x14ac:dyDescent="0.3">
      <c r="A14" s="12" t="s">
        <v>88</v>
      </c>
      <c r="B14" s="15">
        <f t="shared" ref="B14:G14" si="1">SUM(B12:B13)</f>
        <v>60347</v>
      </c>
      <c r="C14" s="15">
        <f t="shared" si="1"/>
        <v>62455</v>
      </c>
      <c r="D14" s="15">
        <f t="shared" si="1"/>
        <v>69155</v>
      </c>
      <c r="E14" s="15">
        <f t="shared" si="1"/>
        <v>74507</v>
      </c>
      <c r="F14" s="15">
        <f t="shared" si="1"/>
        <v>70030</v>
      </c>
      <c r="G14" s="15">
        <f t="shared" si="1"/>
        <v>72507</v>
      </c>
    </row>
    <row r="16" spans="1:7" x14ac:dyDescent="0.3">
      <c r="A16" s="3" t="s">
        <v>89</v>
      </c>
    </row>
    <row r="17" spans="1:7" x14ac:dyDescent="0.3">
      <c r="A17" t="s">
        <v>90</v>
      </c>
      <c r="B17" s="8">
        <v>271</v>
      </c>
      <c r="C17" s="8">
        <v>249</v>
      </c>
      <c r="D17" s="8">
        <v>306</v>
      </c>
      <c r="E17" s="8">
        <v>303</v>
      </c>
      <c r="F17" s="8">
        <v>285</v>
      </c>
      <c r="G17" s="8">
        <v>2399</v>
      </c>
    </row>
    <row r="18" spans="1:7" x14ac:dyDescent="0.3">
      <c r="A18" t="s">
        <v>91</v>
      </c>
      <c r="B18" s="8">
        <v>13143</v>
      </c>
      <c r="C18" s="8">
        <v>14491</v>
      </c>
      <c r="D18" s="8">
        <v>16370</v>
      </c>
      <c r="E18" s="8">
        <v>16944</v>
      </c>
      <c r="F18" s="8">
        <v>17688</v>
      </c>
      <c r="G18" s="8">
        <v>18731</v>
      </c>
    </row>
    <row r="19" spans="1:7" x14ac:dyDescent="0.3">
      <c r="A19" s="12" t="s">
        <v>92</v>
      </c>
      <c r="B19" s="15">
        <f t="shared" ref="B19:G19" si="2">SUM(B17:B18)</f>
        <v>13414</v>
      </c>
      <c r="C19" s="15">
        <f t="shared" si="2"/>
        <v>14740</v>
      </c>
      <c r="D19" s="15">
        <f t="shared" si="2"/>
        <v>16676</v>
      </c>
      <c r="E19" s="15">
        <f t="shared" si="2"/>
        <v>17247</v>
      </c>
      <c r="F19" s="15">
        <f t="shared" si="2"/>
        <v>17973</v>
      </c>
      <c r="G19" s="15">
        <f t="shared" si="2"/>
        <v>21130</v>
      </c>
    </row>
    <row r="21" spans="1:7" x14ac:dyDescent="0.3">
      <c r="A21" s="12" t="s">
        <v>93</v>
      </c>
      <c r="B21" s="15">
        <f t="shared" ref="B21:G21" si="3">B14+B19</f>
        <v>73761</v>
      </c>
      <c r="C21" s="15">
        <f t="shared" si="3"/>
        <v>77195</v>
      </c>
      <c r="D21" s="15">
        <f t="shared" si="3"/>
        <v>85831</v>
      </c>
      <c r="E21" s="15">
        <f t="shared" si="3"/>
        <v>91754</v>
      </c>
      <c r="F21" s="15">
        <f t="shared" si="3"/>
        <v>88003</v>
      </c>
      <c r="G21" s="15">
        <f t="shared" si="3"/>
        <v>93637</v>
      </c>
    </row>
    <row r="22" spans="1:7" x14ac:dyDescent="0.3">
      <c r="A22" t="s">
        <v>94</v>
      </c>
      <c r="B22" s="15">
        <f t="shared" ref="B22:G22" si="4">B9-B21</f>
        <v>-1</v>
      </c>
      <c r="C22" s="15">
        <f t="shared" si="4"/>
        <v>2</v>
      </c>
      <c r="D22" s="15">
        <f t="shared" si="4"/>
        <v>-1</v>
      </c>
      <c r="E22" s="15">
        <f t="shared" si="4"/>
        <v>0</v>
      </c>
      <c r="F22" s="15">
        <f t="shared" si="4"/>
        <v>0</v>
      </c>
      <c r="G22" s="15">
        <f t="shared" si="4"/>
        <v>0</v>
      </c>
    </row>
    <row r="24" spans="1:7" x14ac:dyDescent="0.3">
      <c r="A24" s="3" t="s">
        <v>19</v>
      </c>
    </row>
    <row r="25" spans="1:7" ht="15" customHeight="1" x14ac:dyDescent="0.3">
      <c r="A25" s="28" t="s">
        <v>95</v>
      </c>
      <c r="B25" s="28"/>
      <c r="C25" s="28"/>
      <c r="D25" s="28"/>
      <c r="E25" s="28"/>
      <c r="F25" s="28"/>
      <c r="G25" s="28"/>
    </row>
    <row r="26" spans="1:7" x14ac:dyDescent="0.3">
      <c r="A26" s="28"/>
      <c r="B26" s="28"/>
      <c r="C26" s="28"/>
      <c r="D26" s="28"/>
      <c r="E26" s="28"/>
      <c r="F26" s="28"/>
      <c r="G26" s="28"/>
    </row>
    <row r="27" spans="1:7" x14ac:dyDescent="0.3">
      <c r="A27" s="28"/>
      <c r="B27" s="28"/>
      <c r="C27" s="28"/>
      <c r="D27" s="28"/>
      <c r="E27" s="28"/>
      <c r="F27" s="28"/>
      <c r="G27" s="28"/>
    </row>
    <row r="28" spans="1:7" x14ac:dyDescent="0.3">
      <c r="A28" s="28"/>
      <c r="B28" s="28"/>
      <c r="C28" s="28"/>
      <c r="D28" s="28"/>
      <c r="E28" s="28"/>
      <c r="F28" s="28"/>
      <c r="G28" s="28"/>
    </row>
  </sheetData>
  <mergeCells count="2">
    <mergeCell ref="A1:G1"/>
    <mergeCell ref="A25:G28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13"/>
  <sheetViews>
    <sheetView zoomScaleNormal="100" workbookViewId="0">
      <selection activeCell="B5" sqref="B5"/>
    </sheetView>
  </sheetViews>
  <sheetFormatPr defaultColWidth="8.6640625" defaultRowHeight="14.4" x14ac:dyDescent="0.3"/>
  <cols>
    <col min="1" max="1" width="32" customWidth="1"/>
    <col min="2" max="7" width="12" customWidth="1"/>
  </cols>
  <sheetData>
    <row r="1" spans="1:7" ht="17.399999999999999" x14ac:dyDescent="0.3">
      <c r="A1" s="27" t="s">
        <v>96</v>
      </c>
      <c r="B1" s="27"/>
      <c r="C1" s="27"/>
      <c r="D1" s="27"/>
      <c r="E1" s="27"/>
      <c r="F1" s="27"/>
      <c r="G1" s="27"/>
    </row>
    <row r="3" spans="1:7" x14ac:dyDescent="0.3">
      <c r="A3" s="12" t="s">
        <v>52</v>
      </c>
      <c r="B3" s="13" t="s">
        <v>53</v>
      </c>
      <c r="C3" s="13" t="s">
        <v>54</v>
      </c>
      <c r="D3" s="13" t="s">
        <v>55</v>
      </c>
      <c r="E3" s="13" t="s">
        <v>56</v>
      </c>
      <c r="F3" s="13" t="s">
        <v>57</v>
      </c>
      <c r="G3" s="13" t="s">
        <v>58</v>
      </c>
    </row>
    <row r="4" spans="1:7" x14ac:dyDescent="0.3">
      <c r="A4" t="s">
        <v>97</v>
      </c>
      <c r="B4" s="16">
        <f>'Income Statement'!B13+'Income Statement'!B10</f>
        <v>15029</v>
      </c>
      <c r="C4" s="16">
        <f>'Income Statement'!C13+'Income Statement'!C10</f>
        <v>17235</v>
      </c>
      <c r="D4" s="16">
        <f>'Income Statement'!D13+'Income Statement'!D10</f>
        <v>21286</v>
      </c>
      <c r="E4" s="16">
        <f>'Income Statement'!E13+'Income Statement'!E10</f>
        <v>22269</v>
      </c>
      <c r="F4" s="16">
        <f>'Income Statement'!F13+'Income Statement'!F10</f>
        <v>36698</v>
      </c>
      <c r="G4" s="16">
        <f>'Income Statement'!G13+'Income Statement'!G10</f>
        <v>22729</v>
      </c>
    </row>
    <row r="5" spans="1:7" x14ac:dyDescent="0.3">
      <c r="A5" t="s">
        <v>98</v>
      </c>
    </row>
    <row r="6" spans="1:7" x14ac:dyDescent="0.3">
      <c r="A6" t="s">
        <v>99</v>
      </c>
      <c r="B6" s="8">
        <v>5740</v>
      </c>
      <c r="C6" s="8">
        <v>-2238</v>
      </c>
      <c r="D6" s="8">
        <v>-5732</v>
      </c>
      <c r="E6" s="8">
        <v>1563</v>
      </c>
      <c r="F6" s="8">
        <v>-564</v>
      </c>
      <c r="G6" s="8">
        <v>-2321</v>
      </c>
    </row>
    <row r="7" spans="1:7" x14ac:dyDescent="0.3">
      <c r="A7" t="s">
        <v>100</v>
      </c>
      <c r="B7" s="8">
        <v>-18634</v>
      </c>
      <c r="C7" s="8">
        <v>-13580</v>
      </c>
      <c r="D7" s="8">
        <v>-13006</v>
      </c>
      <c r="E7" s="8">
        <v>-18551</v>
      </c>
      <c r="F7" s="8">
        <v>-17037</v>
      </c>
      <c r="G7" s="8">
        <v>-16147</v>
      </c>
    </row>
    <row r="8" spans="1:7" x14ac:dyDescent="0.3">
      <c r="A8" s="12" t="s">
        <v>101</v>
      </c>
      <c r="B8" s="15">
        <f t="shared" ref="B8:G8" si="0">B4+B6+B7</f>
        <v>2135</v>
      </c>
      <c r="C8" s="15">
        <f t="shared" si="0"/>
        <v>1417</v>
      </c>
      <c r="D8" s="15">
        <f t="shared" si="0"/>
        <v>2548</v>
      </c>
      <c r="E8" s="15">
        <f t="shared" si="0"/>
        <v>5281</v>
      </c>
      <c r="F8" s="15">
        <f t="shared" si="0"/>
        <v>19097</v>
      </c>
      <c r="G8" s="15">
        <f t="shared" si="0"/>
        <v>4261</v>
      </c>
    </row>
    <row r="10" spans="1:7" x14ac:dyDescent="0.3">
      <c r="A10" s="3" t="s">
        <v>19</v>
      </c>
    </row>
    <row r="11" spans="1:7" ht="15" customHeight="1" x14ac:dyDescent="0.3">
      <c r="A11" s="28" t="s">
        <v>102</v>
      </c>
      <c r="B11" s="28"/>
      <c r="C11" s="28"/>
      <c r="D11" s="28"/>
      <c r="E11" s="28"/>
      <c r="F11" s="28"/>
      <c r="G11" s="28"/>
    </row>
    <row r="12" spans="1:7" x14ac:dyDescent="0.3">
      <c r="A12" s="28"/>
      <c r="B12" s="28"/>
      <c r="C12" s="28"/>
      <c r="D12" s="28"/>
      <c r="E12" s="28"/>
      <c r="F12" s="28"/>
      <c r="G12" s="28"/>
    </row>
    <row r="13" spans="1:7" x14ac:dyDescent="0.3">
      <c r="A13" s="28"/>
      <c r="B13" s="28"/>
      <c r="C13" s="28"/>
      <c r="D13" s="28"/>
      <c r="E13" s="28"/>
      <c r="F13" s="28"/>
      <c r="G13" s="28"/>
    </row>
  </sheetData>
  <mergeCells count="2">
    <mergeCell ref="A1:G1"/>
    <mergeCell ref="A11:G1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23"/>
  <sheetViews>
    <sheetView topLeftCell="A14" zoomScaleNormal="100" workbookViewId="0">
      <selection sqref="A1:G1"/>
    </sheetView>
  </sheetViews>
  <sheetFormatPr defaultColWidth="8.6640625" defaultRowHeight="14.4" x14ac:dyDescent="0.3"/>
  <cols>
    <col min="1" max="1" width="36" customWidth="1"/>
    <col min="2" max="7" width="12" customWidth="1"/>
    <col min="8" max="8" width="46" customWidth="1"/>
  </cols>
  <sheetData>
    <row r="1" spans="1:8" ht="17.399999999999999" x14ac:dyDescent="0.3">
      <c r="A1" s="27" t="s">
        <v>103</v>
      </c>
      <c r="B1" s="27"/>
      <c r="C1" s="27"/>
      <c r="D1" s="27"/>
      <c r="E1" s="27"/>
      <c r="F1" s="27"/>
      <c r="G1" s="27"/>
    </row>
    <row r="3" spans="1:8" x14ac:dyDescent="0.3">
      <c r="A3" s="12" t="s">
        <v>52</v>
      </c>
      <c r="B3" s="13" t="s">
        <v>53</v>
      </c>
      <c r="C3" s="13" t="s">
        <v>54</v>
      </c>
      <c r="D3" s="13" t="s">
        <v>55</v>
      </c>
      <c r="E3" s="13" t="s">
        <v>56</v>
      </c>
      <c r="F3" s="13" t="s">
        <v>57</v>
      </c>
      <c r="G3" s="13" t="s">
        <v>58</v>
      </c>
      <c r="H3" s="17" t="s">
        <v>104</v>
      </c>
    </row>
    <row r="4" spans="1:8" x14ac:dyDescent="0.3">
      <c r="A4" s="3" t="s">
        <v>105</v>
      </c>
    </row>
    <row r="5" spans="1:8" x14ac:dyDescent="0.3">
      <c r="A5" s="14" t="s">
        <v>75</v>
      </c>
      <c r="B5" s="18">
        <f>'Income Statement'!B13/'Income Statement'!B4</f>
        <v>0.27169742371642608</v>
      </c>
      <c r="C5" s="18">
        <f>'Income Statement'!C13/'Income Statement'!C4</f>
        <v>0.25563525434908074</v>
      </c>
      <c r="D5" s="18">
        <f>'Income Statement'!D13/'Income Statement'!D4</f>
        <v>0.27463726222873985</v>
      </c>
      <c r="E5" s="18">
        <f>'Income Statement'!E13/'Income Statement'!E4</f>
        <v>0.30546723193782016</v>
      </c>
      <c r="F5" s="18">
        <f>'Income Statement'!F13/'Income Statement'!F4</f>
        <v>0.46535586739774037</v>
      </c>
      <c r="G5" s="18">
        <f>'Income Statement'!G13/'Income Statement'!G4</f>
        <v>0.26649591722878735</v>
      </c>
      <c r="H5" t="s">
        <v>106</v>
      </c>
    </row>
    <row r="6" spans="1:8" x14ac:dyDescent="0.3">
      <c r="A6" s="14" t="s">
        <v>107</v>
      </c>
      <c r="B6" s="18">
        <f>('Income Statement'!B6+'Income Statement'!B10)/'Income Statement'!B4</f>
        <v>0.37984448910814705</v>
      </c>
      <c r="C6" s="18">
        <f>('Income Statement'!C6+'Income Statement'!C10)/'Income Statement'!C4</f>
        <v>0.36863715063071978</v>
      </c>
      <c r="D6" s="18">
        <f>('Income Statement'!D6+'Income Statement'!D10)/'Income Statement'!D4</f>
        <v>0.38794963267953581</v>
      </c>
      <c r="E6" s="18">
        <f>('Income Statement'!E6+'Income Statement'!E10)/'Income Statement'!E4</f>
        <v>0.39312842254018726</v>
      </c>
      <c r="F6" s="18">
        <f>('Income Statement'!F6+'Income Statement'!F10)/'Income Statement'!F4</f>
        <v>0.36478897547893735</v>
      </c>
      <c r="G6" s="18">
        <f>('Income Statement'!G6+'Income Statement'!G10)/'Income Statement'!G4</f>
        <v>0.3679185474463661</v>
      </c>
      <c r="H6" t="s">
        <v>108</v>
      </c>
    </row>
    <row r="7" spans="1:8" x14ac:dyDescent="0.3">
      <c r="A7" s="14" t="s">
        <v>109</v>
      </c>
      <c r="B7" s="18">
        <f>'Income Statement'!B13/'Balance Sheet'!B14</f>
        <v>0.22176744494341061</v>
      </c>
      <c r="C7" s="18">
        <f>'Income Statement'!C13/'Balance Sheet'!C14</f>
        <v>0.24822672324073333</v>
      </c>
      <c r="D7" s="18">
        <f>'Income Statement'!D13/'Balance Sheet'!D14</f>
        <v>0.28164268671824161</v>
      </c>
      <c r="E7" s="18">
        <f>'Income Statement'!E13/'Balance Sheet'!E14</f>
        <v>0.27851074395694364</v>
      </c>
      <c r="F7" s="18">
        <f>'Income Statement'!F13/'Balance Sheet'!F14</f>
        <v>0.50052834499500209</v>
      </c>
      <c r="G7" s="18">
        <f>'Income Statement'!G13/'Balance Sheet'!G14</f>
        <v>0.2898754603003848</v>
      </c>
      <c r="H7" t="s">
        <v>110</v>
      </c>
    </row>
    <row r="8" spans="1:8" x14ac:dyDescent="0.3">
      <c r="A8" s="14" t="s">
        <v>111</v>
      </c>
      <c r="B8" s="18">
        <f>'Income Statement'!B6/('Balance Sheet'!B9-'Balance Sheet'!B17)</f>
        <v>0.23219801602960988</v>
      </c>
      <c r="C8" s="18">
        <f>'Income Statement'!C6/('Balance Sheet'!C9-'Balance Sheet'!C17)</f>
        <v>0.26802515984820918</v>
      </c>
      <c r="D8" s="18">
        <f>'Income Statement'!D6/('Balance Sheet'!D9-'Balance Sheet'!D17)</f>
        <v>0.3005472148168935</v>
      </c>
      <c r="E8" s="18">
        <f>'Income Statement'!E6/('Balance Sheet'!E9-'Balance Sheet'!E17)</f>
        <v>0.27542618451411138</v>
      </c>
      <c r="F8" s="18">
        <f>'Income Statement'!F6/('Balance Sheet'!F9-'Balance Sheet'!F17)</f>
        <v>0.2944777582708224</v>
      </c>
      <c r="G8" s="18">
        <f>'Income Statement'!G6/('Balance Sheet'!G9-'Balance Sheet'!G17)</f>
        <v>0.29928319340625614</v>
      </c>
      <c r="H8" t="s">
        <v>112</v>
      </c>
    </row>
    <row r="9" spans="1:8" x14ac:dyDescent="0.3">
      <c r="A9" s="14" t="s">
        <v>113</v>
      </c>
      <c r="B9" s="18">
        <f>'Income Statement'!B13/'Balance Sheet'!B9</f>
        <v>0.18143980477223429</v>
      </c>
      <c r="C9" s="18">
        <f>'Income Statement'!C13/'Balance Sheet'!C9</f>
        <v>0.20082386621241757</v>
      </c>
      <c r="D9" s="18">
        <f>'Income Statement'!D13/'Balance Sheet'!D9</f>
        <v>0.22692531748805778</v>
      </c>
      <c r="E9" s="18">
        <f>'Income Statement'!E13/'Balance Sheet'!E9</f>
        <v>0.22615907753340453</v>
      </c>
      <c r="F9" s="18">
        <f>'Income Statement'!F13/'Balance Sheet'!F9</f>
        <v>0.39830460325216188</v>
      </c>
      <c r="G9" s="18">
        <f>'Income Statement'!G13/'Balance Sheet'!G9</f>
        <v>0.22446255219624722</v>
      </c>
      <c r="H9" t="s">
        <v>114</v>
      </c>
    </row>
    <row r="11" spans="1:8" x14ac:dyDescent="0.3">
      <c r="A11" s="3" t="s">
        <v>115</v>
      </c>
    </row>
    <row r="12" spans="1:8" x14ac:dyDescent="0.3">
      <c r="A12" s="14" t="s">
        <v>116</v>
      </c>
      <c r="B12" s="19">
        <f>'Balance Sheet'!B17/'Balance Sheet'!B14</f>
        <v>4.490695477819941E-3</v>
      </c>
      <c r="C12" s="19">
        <f>'Balance Sheet'!C17/'Balance Sheet'!C14</f>
        <v>3.9868705467936911E-3</v>
      </c>
      <c r="D12" s="19">
        <f>'Balance Sheet'!D17/'Balance Sheet'!D14</f>
        <v>4.4248427445593231E-3</v>
      </c>
      <c r="E12" s="19">
        <f>'Balance Sheet'!E17/'Balance Sheet'!E14</f>
        <v>4.066731984914169E-3</v>
      </c>
      <c r="F12" s="19">
        <f>'Balance Sheet'!F17/'Balance Sheet'!F14</f>
        <v>4.0696844209624451E-3</v>
      </c>
      <c r="G12" s="19">
        <f>'Balance Sheet'!G17/'Balance Sheet'!G14</f>
        <v>3.3086460617595542E-2</v>
      </c>
      <c r="H12" t="s">
        <v>117</v>
      </c>
    </row>
    <row r="13" spans="1:8" x14ac:dyDescent="0.3">
      <c r="A13" s="14" t="s">
        <v>118</v>
      </c>
      <c r="B13" s="19">
        <f>'Balance Sheet'!B17/'Balance Sheet'!B9</f>
        <v>3.6740780911062908E-3</v>
      </c>
      <c r="C13" s="19">
        <f>'Balance Sheet'!C17/'Balance Sheet'!C9</f>
        <v>3.2255139448424163E-3</v>
      </c>
      <c r="D13" s="19">
        <f>'Balance Sheet'!D17/'Balance Sheet'!D9</f>
        <v>3.5651869975533031E-3</v>
      </c>
      <c r="E13" s="19">
        <f>'Balance Sheet'!E17/'Balance Sheet'!E9</f>
        <v>3.3023083462301369E-3</v>
      </c>
      <c r="F13" s="19">
        <f>'Balance Sheet'!F17/'Balance Sheet'!F9</f>
        <v>3.2385259593422952E-3</v>
      </c>
      <c r="G13" s="19">
        <f>'Balance Sheet'!G17/'Balance Sheet'!G9</f>
        <v>2.5620214231553765E-2</v>
      </c>
      <c r="H13" t="s">
        <v>119</v>
      </c>
    </row>
    <row r="14" spans="1:8" x14ac:dyDescent="0.3">
      <c r="A14" s="14" t="s">
        <v>120</v>
      </c>
      <c r="B14" s="19">
        <f>'Income Statement'!B6/'Income Statement'!B9</f>
        <v>294.20689655172413</v>
      </c>
      <c r="C14" s="19">
        <f>'Income Statement'!C6/'Income Statement'!C9</f>
        <v>343.73333333333335</v>
      </c>
      <c r="D14" s="19">
        <f>'Income Statement'!D6/'Income Statement'!D9</f>
        <v>329.53846153846155</v>
      </c>
      <c r="E14" s="19">
        <f>'Income Statement'!E6/'Income Statement'!E9</f>
        <v>645.84615384615381</v>
      </c>
      <c r="F14" s="19">
        <f>'Income Statement'!F6/'Income Statement'!F9</f>
        <v>574.02222222222224</v>
      </c>
      <c r="G14" s="19">
        <f>'Income Statement'!G6/'Income Statement'!G9</f>
        <v>321.24705882352941</v>
      </c>
      <c r="H14" t="s">
        <v>121</v>
      </c>
    </row>
    <row r="16" spans="1:8" x14ac:dyDescent="0.3">
      <c r="A16" s="3" t="s">
        <v>122</v>
      </c>
    </row>
    <row r="17" spans="1:8" x14ac:dyDescent="0.3">
      <c r="A17" t="s">
        <v>69</v>
      </c>
      <c r="G17" s="19">
        <f>'Income Statement'!G14</f>
        <v>16.510000000000002</v>
      </c>
    </row>
    <row r="18" spans="1:8" x14ac:dyDescent="0.3">
      <c r="A18" t="s">
        <v>123</v>
      </c>
      <c r="G18" s="20">
        <f>Assumptions!B24/'Income Statement'!G14</f>
        <v>15.869170199878861</v>
      </c>
      <c r="H18" t="s">
        <v>124</v>
      </c>
    </row>
    <row r="19" spans="1:8" x14ac:dyDescent="0.3">
      <c r="A19" t="s">
        <v>125</v>
      </c>
      <c r="G19" s="20">
        <f>(Assumptions!B24*Assumptions!B25)/'Balance Sheet'!G14</f>
        <v>4.5330657729598522</v>
      </c>
      <c r="H19" t="s">
        <v>126</v>
      </c>
    </row>
    <row r="20" spans="1:8" x14ac:dyDescent="0.3">
      <c r="A20" t="s">
        <v>127</v>
      </c>
      <c r="G20" s="7">
        <v>5.5300000000000002E-2</v>
      </c>
      <c r="H20" t="s">
        <v>128</v>
      </c>
    </row>
    <row r="22" spans="1:8" x14ac:dyDescent="0.3">
      <c r="A22" s="3" t="s">
        <v>129</v>
      </c>
    </row>
    <row r="23" spans="1:8" x14ac:dyDescent="0.3">
      <c r="A23" t="s">
        <v>130</v>
      </c>
      <c r="G23" s="21">
        <v>164</v>
      </c>
      <c r="H23" t="s">
        <v>131</v>
      </c>
    </row>
  </sheetData>
  <mergeCells count="1">
    <mergeCell ref="A1:G1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45"/>
  <sheetViews>
    <sheetView zoomScaleNormal="100" workbookViewId="0">
      <selection activeCell="A35" sqref="A35"/>
    </sheetView>
  </sheetViews>
  <sheetFormatPr defaultColWidth="8.6640625" defaultRowHeight="14.4" x14ac:dyDescent="0.3"/>
  <cols>
    <col min="1" max="1" width="40" customWidth="1"/>
    <col min="2" max="7" width="13" customWidth="1"/>
  </cols>
  <sheetData>
    <row r="1" spans="1:7" ht="17.399999999999999" x14ac:dyDescent="0.3">
      <c r="A1" s="27" t="s">
        <v>132</v>
      </c>
      <c r="B1" s="27"/>
      <c r="C1" s="27"/>
      <c r="D1" s="27"/>
      <c r="E1" s="27"/>
      <c r="F1" s="27"/>
      <c r="G1" s="27"/>
    </row>
    <row r="3" spans="1:7" x14ac:dyDescent="0.3">
      <c r="A3" s="3" t="s">
        <v>133</v>
      </c>
    </row>
    <row r="4" spans="1:7" x14ac:dyDescent="0.3">
      <c r="A4" t="s">
        <v>134</v>
      </c>
      <c r="B4" s="18">
        <f>Assumptions!B17</f>
        <v>9.1999999999999998E-2</v>
      </c>
    </row>
    <row r="5" spans="1:7" x14ac:dyDescent="0.3">
      <c r="A5" t="s">
        <v>135</v>
      </c>
      <c r="B5" s="18">
        <f>Assumptions!B19</f>
        <v>5.6249999999999994E-2</v>
      </c>
    </row>
    <row r="6" spans="1:7" x14ac:dyDescent="0.3">
      <c r="A6" t="s">
        <v>136</v>
      </c>
      <c r="B6" s="16">
        <f>Assumptions!B24*Assumptions!B25</f>
        <v>328679</v>
      </c>
    </row>
    <row r="7" spans="1:7" x14ac:dyDescent="0.3">
      <c r="A7" t="s">
        <v>137</v>
      </c>
      <c r="B7" s="16">
        <f>'Balance Sheet'!G17</f>
        <v>2399</v>
      </c>
    </row>
    <row r="8" spans="1:7" x14ac:dyDescent="0.3">
      <c r="A8" t="s">
        <v>138</v>
      </c>
      <c r="B8" s="10">
        <f>B6/(B6+B7)</f>
        <v>0.99275397338391558</v>
      </c>
    </row>
    <row r="9" spans="1:7" x14ac:dyDescent="0.3">
      <c r="A9" t="s">
        <v>139</v>
      </c>
      <c r="B9" s="10">
        <f>B7/(B6+B7)</f>
        <v>7.2460266160844274E-3</v>
      </c>
    </row>
    <row r="10" spans="1:7" x14ac:dyDescent="0.3">
      <c r="A10" t="s">
        <v>133</v>
      </c>
      <c r="B10" s="22">
        <f>(B4*B8)+(B5*B9)</f>
        <v>9.1740954548474973E-2</v>
      </c>
    </row>
    <row r="13" spans="1:7" x14ac:dyDescent="0.3">
      <c r="A13" s="3" t="s">
        <v>140</v>
      </c>
    </row>
    <row r="14" spans="1:7" x14ac:dyDescent="0.3">
      <c r="B14" s="13" t="s">
        <v>141</v>
      </c>
      <c r="C14" s="13" t="s">
        <v>142</v>
      </c>
      <c r="D14" s="13" t="s">
        <v>143</v>
      </c>
      <c r="E14" s="13" t="s">
        <v>144</v>
      </c>
      <c r="F14" s="13" t="s">
        <v>145</v>
      </c>
      <c r="G14" s="13" t="s">
        <v>146</v>
      </c>
    </row>
    <row r="15" spans="1:7" x14ac:dyDescent="0.3">
      <c r="A15" t="s">
        <v>147</v>
      </c>
      <c r="B15" s="16">
        <f>'Income Statement'!G4</f>
        <v>78868</v>
      </c>
      <c r="C15" s="15">
        <f>B15*(1+Assumptions!$B$5)</f>
        <v>85177.44</v>
      </c>
      <c r="D15" s="15">
        <f>C15*(1+Assumptions!$B$5)</f>
        <v>91991.635200000004</v>
      </c>
      <c r="E15" s="15">
        <f>D15*(1+Assumptions!$B$5)</f>
        <v>99350.966016000006</v>
      </c>
      <c r="F15" s="15">
        <f>E15*(1+Assumptions!$B$5)</f>
        <v>107299.04329728002</v>
      </c>
      <c r="G15" s="15">
        <f>F15*(1+Assumptions!$B$5)</f>
        <v>115882.96676106243</v>
      </c>
    </row>
    <row r="16" spans="1:7" x14ac:dyDescent="0.3">
      <c r="A16" t="s">
        <v>148</v>
      </c>
      <c r="B16" s="16">
        <f>'Income Statement'!G6</f>
        <v>27306</v>
      </c>
      <c r="C16" s="15">
        <f>C15*Assumptions!$B$6</f>
        <v>29812.103999999999</v>
      </c>
      <c r="D16" s="15">
        <f>D15*Assumptions!$B$6</f>
        <v>32197.072319999999</v>
      </c>
      <c r="E16" s="15">
        <f>E15*Assumptions!$B$6</f>
        <v>34772.8381056</v>
      </c>
      <c r="F16" s="15">
        <f>F15*Assumptions!$B$6</f>
        <v>37554.665154048002</v>
      </c>
      <c r="G16" s="15">
        <f>G15*Assumptions!$B$6</f>
        <v>40559.038366371846</v>
      </c>
    </row>
    <row r="17" spans="1:7" x14ac:dyDescent="0.3">
      <c r="A17" t="s">
        <v>149</v>
      </c>
      <c r="B17" s="15">
        <f>B16*Assumptions!$B$7</f>
        <v>6826.5</v>
      </c>
      <c r="C17" s="15">
        <f>C16*Assumptions!$B$7</f>
        <v>7453.0259999999998</v>
      </c>
      <c r="D17" s="15">
        <f>D16*Assumptions!$B$7</f>
        <v>8049.2680799999998</v>
      </c>
      <c r="E17" s="15">
        <f>E16*Assumptions!$B$7</f>
        <v>8693.2095264</v>
      </c>
      <c r="F17" s="15">
        <f>F16*Assumptions!$B$7</f>
        <v>9388.6662885120004</v>
      </c>
      <c r="G17" s="15">
        <f>G16*Assumptions!$B$7</f>
        <v>10139.759591592961</v>
      </c>
    </row>
    <row r="18" spans="1:7" x14ac:dyDescent="0.3">
      <c r="A18" t="s">
        <v>150</v>
      </c>
      <c r="B18" s="15">
        <f t="shared" ref="B18:G18" si="0">B16-B17</f>
        <v>20479.5</v>
      </c>
      <c r="C18" s="15">
        <f t="shared" si="0"/>
        <v>22359.078000000001</v>
      </c>
      <c r="D18" s="15">
        <f t="shared" si="0"/>
        <v>24147.804239999998</v>
      </c>
      <c r="E18" s="15">
        <f t="shared" si="0"/>
        <v>26079.628579199998</v>
      </c>
      <c r="F18" s="15">
        <f t="shared" si="0"/>
        <v>28165.998865535999</v>
      </c>
      <c r="G18" s="15">
        <f t="shared" si="0"/>
        <v>30419.278774778883</v>
      </c>
    </row>
    <row r="19" spans="1:7" x14ac:dyDescent="0.3">
      <c r="A19" t="s">
        <v>151</v>
      </c>
      <c r="B19" s="16">
        <f>'Income Statement'!G10</f>
        <v>1711</v>
      </c>
      <c r="C19" s="15">
        <f>B19*(1+Assumptions!$B$8)</f>
        <v>1796.5500000000002</v>
      </c>
      <c r="D19" s="15">
        <f>C19*(1+Assumptions!$B$8)</f>
        <v>1886.3775000000003</v>
      </c>
      <c r="E19" s="15">
        <f>D19*(1+Assumptions!$B$8)</f>
        <v>1980.6963750000004</v>
      </c>
      <c r="F19" s="15">
        <f>E19*(1+Assumptions!$B$8)</f>
        <v>2079.7311937500003</v>
      </c>
      <c r="G19" s="15">
        <f>F19*(1+Assumptions!$B$8)</f>
        <v>2183.7177534375005</v>
      </c>
    </row>
    <row r="20" spans="1:7" x14ac:dyDescent="0.3">
      <c r="A20" t="s">
        <v>152</v>
      </c>
      <c r="B20" s="16">
        <f>-'Cash Flow'!G6</f>
        <v>2321</v>
      </c>
      <c r="C20" s="15">
        <f>B20*(1+Assumptions!$B$9)</f>
        <v>2413.84</v>
      </c>
      <c r="D20" s="15">
        <f>C20*(1+Assumptions!$B$9)</f>
        <v>2510.3936000000003</v>
      </c>
      <c r="E20" s="15">
        <f>D20*(1+Assumptions!$B$9)</f>
        <v>2610.8093440000002</v>
      </c>
      <c r="F20" s="15">
        <f>E20*(1+Assumptions!$B$9)</f>
        <v>2715.2417177600005</v>
      </c>
      <c r="G20" s="15">
        <f>F20*(1+Assumptions!$B$9)</f>
        <v>2823.8513864704005</v>
      </c>
    </row>
    <row r="21" spans="1:7" x14ac:dyDescent="0.3">
      <c r="A21" t="s">
        <v>153</v>
      </c>
      <c r="C21" s="15">
        <f>Assumptions!$B$10</f>
        <v>300</v>
      </c>
      <c r="D21" s="15">
        <f>Assumptions!$B$10</f>
        <v>300</v>
      </c>
      <c r="E21" s="15">
        <f>Assumptions!$B$10</f>
        <v>300</v>
      </c>
      <c r="F21" s="15">
        <f>Assumptions!$B$10</f>
        <v>300</v>
      </c>
      <c r="G21" s="15">
        <f>Assumptions!$B$10</f>
        <v>300</v>
      </c>
    </row>
    <row r="22" spans="1:7" x14ac:dyDescent="0.3">
      <c r="A22" s="12" t="s">
        <v>154</v>
      </c>
      <c r="C22" s="23">
        <f>C18+C19-C20-C21</f>
        <v>21441.788</v>
      </c>
      <c r="D22" s="23">
        <f>D18+D19-D20-D21</f>
        <v>23223.788139999997</v>
      </c>
      <c r="E22" s="23">
        <f>E18+E19-E20-E21</f>
        <v>25149.515610199996</v>
      </c>
      <c r="F22" s="23">
        <f>F18+F19-F20-F21</f>
        <v>27230.488341526001</v>
      </c>
      <c r="G22" s="23">
        <f>G18+G19-G20-G21</f>
        <v>29479.145141745983</v>
      </c>
    </row>
    <row r="24" spans="1:7" x14ac:dyDescent="0.3">
      <c r="A24" s="3" t="s">
        <v>155</v>
      </c>
    </row>
    <row r="25" spans="1:7" x14ac:dyDescent="0.3">
      <c r="A25" t="s">
        <v>156</v>
      </c>
      <c r="B25" s="15">
        <f>G22*(1+Assumptions!B23)/(B10-Assumptions!B23)</f>
        <v>741552.33711501618</v>
      </c>
    </row>
    <row r="27" spans="1:7" x14ac:dyDescent="0.3">
      <c r="A27" s="3" t="s">
        <v>157</v>
      </c>
    </row>
    <row r="28" spans="1:7" x14ac:dyDescent="0.3">
      <c r="A28" t="s">
        <v>158</v>
      </c>
      <c r="C28" s="24">
        <f>1/(1+$B$10)^1</f>
        <v>0.91596820274419632</v>
      </c>
      <c r="D28" s="24">
        <f>1/(1+$B$10)^2</f>
        <v>0.83899774843843311</v>
      </c>
      <c r="E28" s="24">
        <f>1/(1+$B$10)^3</f>
        <v>0.76849525974357891</v>
      </c>
      <c r="F28" s="24">
        <f>1/(1+$B$10)^4</f>
        <v>0.70391722188476025</v>
      </c>
      <c r="G28" s="24">
        <f>1/(1+$B$10)^5</f>
        <v>0.64476579261047151</v>
      </c>
    </row>
    <row r="29" spans="1:7" x14ac:dyDescent="0.3">
      <c r="A29" t="s">
        <v>159</v>
      </c>
      <c r="C29" s="15">
        <f>C22*C28</f>
        <v>19639.996017982077</v>
      </c>
      <c r="D29" s="15">
        <f>D22*D28</f>
        <v>19484.705959671184</v>
      </c>
      <c r="E29" s="15">
        <f>E22*E28</f>
        <v>19327.283531285837</v>
      </c>
      <c r="F29" s="15">
        <f>F22*F28</f>
        <v>19168.009703932334</v>
      </c>
      <c r="G29" s="15">
        <f>G22*G28</f>
        <v>19007.144382796978</v>
      </c>
    </row>
    <row r="31" spans="1:7" x14ac:dyDescent="0.3">
      <c r="A31" s="3" t="s">
        <v>160</v>
      </c>
    </row>
    <row r="32" spans="1:7" x14ac:dyDescent="0.3">
      <c r="A32" t="s">
        <v>161</v>
      </c>
      <c r="B32" s="15">
        <f>SUM(C29:G29)</f>
        <v>96627.139595668414</v>
      </c>
    </row>
    <row r="33" spans="1:2" x14ac:dyDescent="0.3">
      <c r="A33" t="s">
        <v>162</v>
      </c>
      <c r="B33" s="15">
        <f>B25/(1+B10)^5</f>
        <v>478127.58040211094</v>
      </c>
    </row>
    <row r="34" spans="1:2" x14ac:dyDescent="0.3">
      <c r="A34" s="12" t="s">
        <v>163</v>
      </c>
      <c r="B34" s="23">
        <f>B32+B33</f>
        <v>574754.71999777935</v>
      </c>
    </row>
    <row r="35" spans="1:2" x14ac:dyDescent="0.3">
      <c r="A35" t="s">
        <v>187</v>
      </c>
      <c r="B35" s="15">
        <f>B7</f>
        <v>2399</v>
      </c>
    </row>
    <row r="36" spans="1:2" x14ac:dyDescent="0.3">
      <c r="A36" s="12" t="s">
        <v>164</v>
      </c>
      <c r="B36" s="23">
        <f>B34-B35</f>
        <v>572355.71999777935</v>
      </c>
    </row>
    <row r="37" spans="1:2" x14ac:dyDescent="0.3">
      <c r="A37" t="s">
        <v>47</v>
      </c>
      <c r="B37" s="19">
        <f>Assumptions!B25</f>
        <v>1254.5</v>
      </c>
    </row>
    <row r="38" spans="1:2" x14ac:dyDescent="0.3">
      <c r="A38" s="12" t="s">
        <v>165</v>
      </c>
      <c r="B38" s="23">
        <f>B36/B37</f>
        <v>456.24210442230321</v>
      </c>
    </row>
    <row r="39" spans="1:2" x14ac:dyDescent="0.3">
      <c r="A39" t="s">
        <v>45</v>
      </c>
      <c r="B39" s="16">
        <f>Assumptions!B24</f>
        <v>262</v>
      </c>
    </row>
    <row r="40" spans="1:2" x14ac:dyDescent="0.3">
      <c r="A40" t="s">
        <v>166</v>
      </c>
      <c r="B40" s="10">
        <f>(B38-B39)/B39</f>
        <v>0.74138207794772215</v>
      </c>
    </row>
    <row r="42" spans="1:2" x14ac:dyDescent="0.3">
      <c r="A42" s="3" t="s">
        <v>167</v>
      </c>
    </row>
    <row r="43" spans="1:2" x14ac:dyDescent="0.3">
      <c r="A43" t="s">
        <v>168</v>
      </c>
      <c r="B43" s="15">
        <f>((C22/(1+(B10-0.01))^1+D22/(1+(B10-0.01))^2+E22/(1+(B10-0.01))^3+F22/(1+(B10-0.01))^4+G22/(1+(B10-0.01))^5)+((G22*(1+Assumptions!B23)/((B10-0.01)-Assumptions!B23))/(1+(B10-0.01))^5)-B35)/B37</f>
        <v>602.06685685252648</v>
      </c>
    </row>
    <row r="44" spans="1:2" x14ac:dyDescent="0.3">
      <c r="A44" t="s">
        <v>169</v>
      </c>
      <c r="B44" s="15">
        <f>((C22/(1+B10)^1+D22/(1+B10)^2+E22/(1+B10)^3+F22/(1+B10)^4+G22/(1+B10)^5)+((G22*(1+Assumptions!B23)/(B10-Assumptions!B23))/(1+B10)^5)-B35)/B37</f>
        <v>456.24210442230321</v>
      </c>
    </row>
    <row r="45" spans="1:2" x14ac:dyDescent="0.3">
      <c r="A45" t="s">
        <v>170</v>
      </c>
      <c r="B45" s="15">
        <f>((C22/(1+(B10+0.01))^1+D22/(1+(B10+0.01))^2+E22/(1+(B10+0.01))^3+F22/(1+(B10+0.01))^4+G22/(1+(B10+0.01))^5)+((G22*(1+Assumptions!B23)/((B10+0.01)-Assumptions!B23))/(1+(B10+0.01))^5)-B35)/B37</f>
        <v>366.81721963894728</v>
      </c>
    </row>
  </sheetData>
  <mergeCells count="1">
    <mergeCell ref="A1:G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21"/>
  <sheetViews>
    <sheetView tabSelected="1" zoomScaleNormal="100" workbookViewId="0">
      <selection activeCell="A7" sqref="A7"/>
    </sheetView>
  </sheetViews>
  <sheetFormatPr defaultColWidth="8.6640625" defaultRowHeight="14.4" x14ac:dyDescent="0.3"/>
  <cols>
    <col min="1" max="1" width="26" customWidth="1"/>
    <col min="2" max="4" width="22" customWidth="1"/>
  </cols>
  <sheetData>
    <row r="1" spans="1:4" ht="17.399999999999999" x14ac:dyDescent="0.3">
      <c r="A1" s="27" t="s">
        <v>171</v>
      </c>
      <c r="B1" s="27"/>
      <c r="C1" s="27"/>
      <c r="D1" s="27"/>
    </row>
    <row r="3" spans="1:4" x14ac:dyDescent="0.3">
      <c r="A3" s="26" t="s">
        <v>189</v>
      </c>
    </row>
    <row r="5" spans="1:4" x14ac:dyDescent="0.3">
      <c r="A5" s="17" t="s">
        <v>172</v>
      </c>
      <c r="B5" s="17" t="s">
        <v>173</v>
      </c>
      <c r="C5" s="17" t="s">
        <v>174</v>
      </c>
      <c r="D5" s="17" t="s">
        <v>175</v>
      </c>
    </row>
    <row r="6" spans="1:4" x14ac:dyDescent="0.3">
      <c r="A6" t="s">
        <v>176</v>
      </c>
      <c r="B6" s="8">
        <v>78868</v>
      </c>
      <c r="C6" s="8">
        <v>6391</v>
      </c>
      <c r="D6" s="8">
        <v>64468</v>
      </c>
    </row>
    <row r="7" spans="1:4" x14ac:dyDescent="0.3">
      <c r="A7" t="s">
        <v>177</v>
      </c>
      <c r="B7" s="7">
        <v>0.34599999999999997</v>
      </c>
      <c r="C7" s="7">
        <v>0.248</v>
      </c>
      <c r="D7" s="7">
        <v>0.23300000000000001</v>
      </c>
    </row>
    <row r="8" spans="1:4" x14ac:dyDescent="0.3">
      <c r="A8" t="s">
        <v>178</v>
      </c>
      <c r="B8" s="7">
        <v>0.26600000000000001</v>
      </c>
      <c r="C8" s="7">
        <v>0.23899999999999999</v>
      </c>
      <c r="D8" s="7">
        <v>0.23400000000000001</v>
      </c>
    </row>
    <row r="9" spans="1:4" x14ac:dyDescent="0.3">
      <c r="A9" t="s">
        <v>179</v>
      </c>
      <c r="B9" s="7">
        <v>0.29299999999999998</v>
      </c>
      <c r="C9" s="7">
        <v>0.23400000000000001</v>
      </c>
      <c r="D9" s="7">
        <v>0.309</v>
      </c>
    </row>
    <row r="10" spans="1:4" x14ac:dyDescent="0.3">
      <c r="A10" t="s">
        <v>180</v>
      </c>
      <c r="B10" s="25">
        <v>16.600000000000001</v>
      </c>
      <c r="C10" s="25">
        <v>23</v>
      </c>
      <c r="D10" s="25">
        <v>48.6</v>
      </c>
    </row>
    <row r="12" spans="1:4" x14ac:dyDescent="0.3">
      <c r="A12" s="3" t="s">
        <v>181</v>
      </c>
    </row>
    <row r="13" spans="1:4" ht="15" customHeight="1" x14ac:dyDescent="0.3">
      <c r="A13" s="28" t="s">
        <v>182</v>
      </c>
      <c r="B13" s="28"/>
      <c r="C13" s="28"/>
      <c r="D13" s="28"/>
    </row>
    <row r="14" spans="1:4" x14ac:dyDescent="0.3">
      <c r="A14" s="28"/>
      <c r="B14" s="28"/>
      <c r="C14" s="28"/>
      <c r="D14" s="28"/>
    </row>
    <row r="15" spans="1:4" x14ac:dyDescent="0.3">
      <c r="A15" s="28"/>
      <c r="B15" s="28"/>
      <c r="C15" s="28"/>
      <c r="D15" s="28"/>
    </row>
    <row r="16" spans="1:4" x14ac:dyDescent="0.3">
      <c r="A16" s="28"/>
      <c r="B16" s="28"/>
      <c r="C16" s="28"/>
      <c r="D16" s="28"/>
    </row>
    <row r="18" spans="1:4" x14ac:dyDescent="0.3">
      <c r="A18" s="3" t="s">
        <v>183</v>
      </c>
    </row>
    <row r="19" spans="1:4" ht="15" customHeight="1" x14ac:dyDescent="0.3">
      <c r="A19" s="28" t="s">
        <v>188</v>
      </c>
      <c r="B19" s="28"/>
      <c r="C19" s="28"/>
      <c r="D19" s="28"/>
    </row>
    <row r="20" spans="1:4" x14ac:dyDescent="0.3">
      <c r="A20" s="28"/>
      <c r="B20" s="28"/>
      <c r="C20" s="28"/>
      <c r="D20" s="28"/>
    </row>
    <row r="21" spans="1:4" x14ac:dyDescent="0.3">
      <c r="A21" s="28"/>
      <c r="B21" s="28"/>
      <c r="C21" s="28"/>
      <c r="D21" s="28"/>
    </row>
  </sheetData>
  <mergeCells count="3">
    <mergeCell ref="A1:D1"/>
    <mergeCell ref="A13:D16"/>
    <mergeCell ref="A19:D21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 Sheet</vt:lpstr>
      <vt:lpstr>Assumptions</vt:lpstr>
      <vt:lpstr>Income Statement</vt:lpstr>
      <vt:lpstr>Balance Sheet</vt:lpstr>
      <vt:lpstr>Cash Flow</vt:lpstr>
      <vt:lpstr>Ratio Analysis</vt:lpstr>
      <vt:lpstr>DCF Valuation</vt:lpstr>
      <vt:lpstr>Peer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MOHAMED NOORANI - 245859074 - MITBLR</cp:lastModifiedBy>
  <cp:revision>2</cp:revision>
  <dcterms:created xsi:type="dcterms:W3CDTF">2026-09-20T15:10:58Z</dcterms:created>
  <dcterms:modified xsi:type="dcterms:W3CDTF">2026-09-21T18:09:13Z</dcterms:modified>
  <dc:language>en-US</dc:language>
</cp:coreProperties>
</file>